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Key" sheetId="2" state="visible" r:id="rId4"/>
    <sheet name="Assumptions" sheetId="3" state="visible" r:id="rId5"/>
    <sheet name="Stack Comparison" sheetId="4" state="visible" r:id="rId6"/>
    <sheet name="Gemini Options" sheetId="5" state="visible" r:id="rId7"/>
    <sheet name="Prior Models" sheetId="6" state="visible" r:id="rId8"/>
    <sheet name="Forecast 12M" sheetId="7" state="visible" r:id="rId9"/>
    <sheet name="Launch Cap Plan" sheetId="8" state="visible" r:id="rId10"/>
    <sheet name="Unit Economics" sheetId="9" state="visible" r:id="rId11"/>
    <sheet name="Price Sensitivity" sheetId="10" state="visible" r:id="rId12"/>
    <sheet name="Checks" sheetId="11" state="visible" r:id="rId13"/>
    <sheet name="Sources" sheetId="12" state="visible" r:id="rId14"/>
  </sheets>
  <calcPr iterateCount="100" refMode="A1" iterate="false" iterateDelta="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preserved from every prior model: 2% of new trial users become paid users.</t>
        </r>
      </text>
    </comment>
    <comment ref="B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CAC ceiling uses a 3:1 contribution-LTV-to-CAC ratio and the higher published 2027 Gemini 3.6 Flash price.</t>
        </r>
      </text>
    </comment>
  </commentList>
</comments>
</file>

<file path=xl/sharedStrings.xml><?xml version="1.0" encoding="utf-8"?>
<sst xmlns="http://schemas.openxmlformats.org/spreadsheetml/2006/main" count="1199" uniqueCount="821">
  <si>
    <t xml:space="preserve">SpeakSharp — updated financial model</t>
  </si>
  <si>
    <t xml:space="preserve">Forecast version 2026-10-12 · Unvalidated planning case: current private STT, $10/month after 30-day trial · $7 and $5 alternatives on Price Sensitivity</t>
  </si>
  <si>
    <t xml:space="preserve">Period</t>
  </si>
  <si>
    <t xml:space="preserve">Historical</t>
  </si>
  <si>
    <t xml:space="preserve">Current organic</t>
  </si>
  <si>
    <t xml:space="preserve">Current paid CAC</t>
  </si>
  <si>
    <t xml:space="preserve">Planning conclusion: under the stated assumptions, the lean stack lowers fixed cost. Trial conversion, lifetime, usage, CAC and revenue remain unmeasured hypotheses; use this workbook for sensitivity planning, not release or investment proof.</t>
  </si>
  <si>
    <t xml:space="preserve">Fixed OpEx (stack + AI tools)</t>
  </si>
  <si>
    <t xml:space="preserve">Contribution / paid user</t>
  </si>
  <si>
    <t xml:space="preserve">Break-even paid users (all-in, excl. thinking)</t>
  </si>
  <si>
    <t xml:space="preserve">3:1 CAC ceiling</t>
  </si>
  <si>
    <t xml:space="preserve">Old versus current — what changed</t>
  </si>
  <si>
    <t xml:space="preserve">Metric</t>
  </si>
  <si>
    <t xml:space="preserve">Feb 23 model</t>
  </si>
  <si>
    <t xml:space="preserve">Current lean</t>
  </si>
  <si>
    <t xml:space="preserve">Current monitored</t>
  </si>
  <si>
    <t xml:space="preserve">Delta vs Feb 23</t>
  </si>
  <si>
    <t xml:space="preserve">Still holds?</t>
  </si>
  <si>
    <t xml:space="preserve">Why</t>
  </si>
  <si>
    <t xml:space="preserve">Management action</t>
  </si>
  <si>
    <t xml:space="preserve">Monthly price</t>
  </si>
  <si>
    <t xml:space="preserve">Changed</t>
  </si>
  <si>
    <t xml:space="preserve">Current posture is $10 after trial</t>
  </si>
  <si>
    <t xml:space="preserve">Validate willingness to pay after product truth fixes</t>
  </si>
  <si>
    <t xml:space="preserve">Fixed software OpEx</t>
  </si>
  <si>
    <t xml:space="preserve">Improved</t>
  </si>
  <si>
    <t xml:space="preserve">Lean stack is materially smaller</t>
  </si>
  <si>
    <t xml:space="preserve">Hold lean until monitoring volume requires Team</t>
  </si>
  <si>
    <t xml:space="preserve">Variable cost / paid user</t>
  </si>
  <si>
    <t xml:space="preserve">AssemblyAI removed; private STT is on-device</t>
  </si>
  <si>
    <t xml:space="preserve">Watch model egress, not cloud STT hours</t>
  </si>
  <si>
    <t xml:space="preserve">Mostly holds</t>
  </si>
  <si>
    <t xml:space="preserve">Lower price offset by lower variable cost</t>
  </si>
  <si>
    <t xml:space="preserve">Use $9.29 for planning</t>
  </si>
  <si>
    <t xml:space="preserve">6-month contribution LTV</t>
  </si>
  <si>
    <t xml:space="preserve">Corrected</t>
  </si>
  <si>
    <t xml:space="preserve">Prior $85 claim did not tie</t>
  </si>
  <si>
    <t xml:space="preserve">Use formula-based LTV only</t>
  </si>
  <si>
    <t xml:space="preserve">Corrected LTV implies about $19, not $28</t>
  </si>
  <si>
    <t xml:space="preserve">Do not buy growth above model ceiling</t>
  </si>
  <si>
    <t xml:space="preserve">Break-even active paid users</t>
  </si>
  <si>
    <t xml:space="preserve">Lower fixed OpEx</t>
  </si>
  <si>
    <t xml:space="preserve">Stack-only, like-for-like with history; all-in break-even is on Price Sensitivity</t>
  </si>
  <si>
    <t xml:space="preserve">Profitability timing under the preserved ramp</t>
  </si>
  <si>
    <t xml:space="preserve">Scenario</t>
  </si>
  <si>
    <t xml:space="preserve">First monthly profit</t>
  </si>
  <si>
    <t xml:space="preserve">Cumulative cash ≥ $0</t>
  </si>
  <si>
    <t xml:space="preserve">What is included</t>
  </si>
  <si>
    <t xml:space="preserve">Targets to chase
• 500 new trials per month
• ≥2% trial-to-paid conversion
• ≥6-month paid lifetime
• CAC ≤ $18.58
• Lean stack until monitoring justifies the upgrade</t>
  </si>
  <si>
    <t xml:space="preserve">Historical Feb 23</t>
  </si>
  <si>
    <t xml:space="preserve">Month 1</t>
  </si>
  <si>
    <t xml:space="preserve">No trial delay; no acquisition spend</t>
  </si>
  <si>
    <t xml:space="preserve">30-day trial; trial + paid coaching cost; selected stack + AI tools; no paid CAC</t>
  </si>
  <si>
    <t xml:space="preserve">Current paid acquisition</t>
  </si>
  <si>
    <t xml:space="preserve">30-day trial; trial + paid coaching cost; selected stack + AI tools; spend at 3:1 CAC ceiling</t>
  </si>
  <si>
    <t xml:space="preserve">Launch cap plan (100 → 250 users)</t>
  </si>
  <si>
    <t xml:space="preserve">Max 100 active users for 3 months, linear rise to 250; selected stack + AI tools; current price</t>
  </si>
  <si>
    <t xml:space="preserve">Forecast scope: subscription revenue, Stripe fees, Gemini usage, software subscriptions and modeled customer acquisition. Excluded: taxes, refunds/chargebacks, payroll/founder compensation, legal/accounting, domain costs, one-time launch work, and usage overages beyond vendor allowances. Billing is not live today, so all revenue is projected.</t>
  </si>
  <si>
    <t xml:space="preserve">Key — what each term means, in plain English</t>
  </si>
  <si>
    <t xml:space="preserve">Each term is tied to its live number in this workbook, at the current price ($10) unless the row says otherwise. Every customer number here is an assumption that has not been measured yet: treat the outputs as "if these assumptions hold", not as a promise.</t>
  </si>
  <si>
    <t xml:space="preserve">Money in and money out</t>
  </si>
  <si>
    <t xml:space="preserve">Term</t>
  </si>
  <si>
    <t xml:space="preserve">What it means</t>
  </si>
  <si>
    <t xml:space="preserve">Our number</t>
  </si>
  <si>
    <t xml:space="preserve">How we got it</t>
  </si>
  <si>
    <t xml:space="preserve">What one paying user pays each month after the free trial.</t>
  </si>
  <si>
    <t xml:space="preserve">Product requirement. $7 and $5 are tested on Price Sensitivity.</t>
  </si>
  <si>
    <t xml:space="preserve">Free trial</t>
  </si>
  <si>
    <t xml:space="preserve">New users get the full product free for 30 days, no card. They cost us coaching but pay nothing.</t>
  </si>
  <si>
    <t xml:space="preserve">Uncapped forecast: 500 new trials a month. The Launch Cap Plan instead fills free slots under the user cap.</t>
  </si>
  <si>
    <t xml:space="preserve">Launch user cap</t>
  </si>
  <si>
    <t xml:space="preserve">At launch, at most 100 active users (trial + paid) for 3 months, then a gradual rise to 250 by month 12.</t>
  </si>
  <si>
    <t xml:space="preserve">Product Owner direction. See the Launch Cap Plan tab.</t>
  </si>
  <si>
    <t xml:space="preserve">Revenue</t>
  </si>
  <si>
    <t xml:space="preserve">Money collected: price × number of paying users.</t>
  </si>
  <si>
    <t xml:space="preserve">Month 12 of the forecast: $10 × 60 paying users.</t>
  </si>
  <si>
    <t xml:space="preserve">Stripe fee</t>
  </si>
  <si>
    <t xml:space="preserve">What Stripe keeps from each payment for card processing and subscription billing.</t>
  </si>
  <si>
    <t xml:space="preserve">2.9% + $0.30 per charge, plus 0.7% Billing. The $0.30 hurts more at low prices.</t>
  </si>
  <si>
    <t xml:space="preserve">Gemini coaching cost</t>
  </si>
  <si>
    <t xml:space="preserve">What Google charges us for the AI coaching one user asks for in a month.</t>
  </si>
  <si>
    <t xml:space="preserve">10 requests × (2,500 tokens in + 200 out) at the 2027 price, which doubles on 2027-01-01.</t>
  </si>
  <si>
    <t xml:space="preserve">Thinking tokens</t>
  </si>
  <si>
    <t xml:space="preserve">Hidden "thinking" Gemini does before it answers. Billed like output, not yet measured.</t>
  </si>
  <si>
    <t xml:space="preserve">Illustrative guess only. Headline results EXCLUDE it; with it, trial coaching alone rises by $37.50/month (Price Sensitivity companion rows).</t>
  </si>
  <si>
    <t xml:space="preserve">Variable cost</t>
  </si>
  <si>
    <t xml:space="preserve">Costs that grow with each paying user: Stripe + Gemini.</t>
  </si>
  <si>
    <t xml:space="preserve">Per paying user per month.</t>
  </si>
  <si>
    <t xml:space="preserve">Trial coaching cost</t>
  </si>
  <si>
    <t xml:space="preserve">Coaching cost for trial users, who pay nothing. A real monthly cost of getting customers.</t>
  </si>
  <si>
    <t xml:space="preserve">All 500 monthly trials × Gemini cost per user.</t>
  </si>
  <si>
    <t xml:space="preserve">Fixed OpEx — software stack</t>
  </si>
  <si>
    <t xml:space="preserve">Monthly software bills that stay the same no matter how many users we have.</t>
  </si>
  <si>
    <t xml:space="preserve">Lean stack: Supabase Pro $25 + Vercel Pro $20 list base fees, not invoices. Monitoring, analytics, email, GitHub $0 within free allowances.</t>
  </si>
  <si>
    <t xml:space="preserve">Monitored stack</t>
  </si>
  <si>
    <t xml:space="preserve">The lean stack plus Sentry Team for stronger error monitoring. Optional.</t>
  </si>
  <si>
    <t xml:space="preserve">Sentry Team $26 is the annual-billing monthly equivalent ($312/yr), not a proven monthly payment. Switch with Assumptions B27.</t>
  </si>
  <si>
    <t xml:space="preserve">Private speech-to-text</t>
  </si>
  <si>
    <t xml:space="preserve">Transcription runs on the user’s device, so there is no hosted per-audio inference charge.</t>
  </si>
  <si>
    <t xml:space="preserve">The ~80.55 MB model is downloaded from our hosting; download, storage and CDN overages are excluded.</t>
  </si>
  <si>
    <t xml:space="preserve">Coaching cap and retries</t>
  </si>
  <si>
    <t xml:space="preserve">The app allows 10 uncached coaching generations per user per day. One generation can make up to 2 provider attempts.</t>
  </si>
  <si>
    <t xml:space="preserve">Headline results assume no billed retries. Worst case (both attempts billed) is a separate sensitivity.</t>
  </si>
  <si>
    <t xml:space="preserve">AI coding tools</t>
  </si>
  <si>
    <t xml:space="preserve">Your development subscriptions. A fixed business cost, not a per-user cost.</t>
  </si>
  <si>
    <t xml:space="preserve">$200 (Codex Pro + Claude Max 5x) is pre-launch only. After launch: $20 base, $40 sensitivity. Switch with Assumptions B50.</t>
  </si>
  <si>
    <t xml:space="preserve">Fixed OpEx (all-in)</t>
  </si>
  <si>
    <t xml:space="preserve">Everything we pay each month regardless of users: software stack + AI coding tools.</t>
  </si>
  <si>
    <t xml:space="preserve">This is what the forecast charges every month.</t>
  </si>
  <si>
    <t xml:space="preserve">Profit measures</t>
  </si>
  <si>
    <t xml:space="preserve">Contribution per paid user</t>
  </si>
  <si>
    <t xml:space="preserve">What is left from one user’s payment after Stripe and Gemini. This pays the fixed bills.</t>
  </si>
  <si>
    <t xml:space="preserve">Price − Stripe − Gemini.</t>
  </si>
  <si>
    <t xml:space="preserve">Contribution margin</t>
  </si>
  <si>
    <t xml:space="preserve">Contribution as a share of the price: how many cents of each dollar we keep before fixed bills.</t>
  </si>
  <si>
    <t xml:space="preserve">Contribution ÷ price.</t>
  </si>
  <si>
    <t xml:space="preserve">Break-even paid users</t>
  </si>
  <si>
    <t xml:space="preserve">How many paying users we need so their contribution covers every monthly fixed cost. Fewer = we lose money.</t>
  </si>
  <si>
    <t xml:space="preserve">All-in: (fixed OpEx + trial coaching) ÷ contribution, rounded up. Excludes thinking tokens and retries.</t>
  </si>
  <si>
    <t xml:space="preserve">Break-even with thinking</t>
  </si>
  <si>
    <t xml:space="preserve">The same break-even if every coaching call, for paid and trial users, also uses the illustrative thinking tokens.</t>
  </si>
  <si>
    <t xml:space="preserve">All-in. Lean stack only: Price Sensitivity row 72. A scenario, not a measurement.</t>
  </si>
  <si>
    <t xml:space="preserve">Break-even price</t>
  </si>
  <si>
    <t xml:space="preserve">The lowest price that still covers all costs for a given number of paying users.</t>
  </si>
  <si>
    <t xml:space="preserve">All-in, at 60 paying users. Other user counts on Price Sensitivity.</t>
  </si>
  <si>
    <t xml:space="preserve">Operating profit</t>
  </si>
  <si>
    <t xml:space="preserve">One month’s result: contribution from all paying users − trial coaching − fixed OpEx − ad spend.</t>
  </si>
  <si>
    <t xml:space="preserve">Month 12, no ad spend. Taxes, salary, legal and accounting are not included.</t>
  </si>
  <si>
    <t xml:space="preserve">Steady state</t>
  </si>
  <si>
    <t xml:space="preserve">When growth levels off: 10 new paying users join and 10 leave each month, so the count stays flat.</t>
  </si>
  <si>
    <t xml:space="preserve">10 new paid per month × 6-month stay.</t>
  </si>
  <si>
    <t xml:space="preserve">Cumulative cash</t>
  </si>
  <si>
    <t xml:space="preserve">Running total of monthly profit since the start. When it turns positive, early losses are earned back.</t>
  </si>
  <si>
    <t xml:space="preserve">End of month 12, no ad spend.</t>
  </si>
  <si>
    <t xml:space="preserve">Customer value and buying customers</t>
  </si>
  <si>
    <t xml:space="preserve">LTV (lifetime value)</t>
  </si>
  <si>
    <t xml:space="preserve">Total contribution one paying user brings us over the whole time they stay.</t>
  </si>
  <si>
    <t xml:space="preserve">Contribution × 6 months.</t>
  </si>
  <si>
    <t xml:space="preserve">CAC (customer acquisition cost)</t>
  </si>
  <si>
    <t xml:space="preserve">What we spend on ads or marketing to win one paying customer.</t>
  </si>
  <si>
    <t xml:space="preserve">Not measured yet. The organic case assumes $0; the paid case spends the 3:1 ceiling below.</t>
  </si>
  <si>
    <t xml:space="preserve">Spend at most one third of a customer’s LTV to win them, so each customer returns 3× what we spent.</t>
  </si>
  <si>
    <t xml:space="preserve">LTV ÷ 3.</t>
  </si>
  <si>
    <t xml:space="preserve">CAC payback</t>
  </si>
  <si>
    <t xml:space="preserve">Months of a customer’s contribution needed to earn back what we spent to win them.</t>
  </si>
  <si>
    <t xml:space="preserve">CAC ceiling ÷ contribution.</t>
  </si>
  <si>
    <t xml:space="preserve">Organic vs paid acquisition</t>
  </si>
  <si>
    <t xml:space="preserve">Organic: users find us for free. Paid: we buy each customer at the 3:1 ceiling.</t>
  </si>
  <si>
    <t xml:space="preserve">Both are shown in Forecast 12M and Price Sensitivity.</t>
  </si>
  <si>
    <t xml:space="preserve">Timing</t>
  </si>
  <si>
    <t xml:space="preserve">First profitable month — launch cap</t>
  </si>
  <si>
    <t xml:space="preserve">First month the business makes money that month, under the 100 → 250 user cap.</t>
  </si>
  <si>
    <t xml:space="preserve">Month 1 is the trial month, so nobody has paid yet. Current price, no ad spend.</t>
  </si>
  <si>
    <t xml:space="preserve">Cash back to zero — launch cap</t>
  </si>
  <si>
    <t xml:space="preserve">First month the running total turns positive, under the user cap.</t>
  </si>
  <si>
    <t xml:space="preserve">Shows "none in 12" if it does not happen within a year.</t>
  </si>
  <si>
    <t xml:space="preserve">First profitable month — uncapped</t>
  </si>
  <si>
    <t xml:space="preserve">Same, for the uncapped 500-trials-a-month forecast.</t>
  </si>
  <si>
    <t xml:space="preserve">Forecast 12M and Price Sensitivity.</t>
  </si>
  <si>
    <t xml:space="preserve">Main assumptions behind every number (none measured yet)</t>
  </si>
  <si>
    <t xml:space="preserve">New trials per month</t>
  </si>
  <si>
    <t xml:space="preserve">People who start the free trial each month.</t>
  </si>
  <si>
    <t xml:space="preserve">Planning guess.</t>
  </si>
  <si>
    <t xml:space="preserve">Trial-to-paid conversion</t>
  </si>
  <si>
    <t xml:space="preserve">Share of trial users who start paying.</t>
  </si>
  <si>
    <t xml:space="preserve">Planning guess; held the same at $7 and $5.</t>
  </si>
  <si>
    <t xml:space="preserve">New paying users per month</t>
  </si>
  <si>
    <t xml:space="preserve">Trials × conversion.</t>
  </si>
  <si>
    <t xml:space="preserve">Derived.</t>
  </si>
  <si>
    <t xml:space="preserve">Paid lifetime</t>
  </si>
  <si>
    <t xml:space="preserve">How long a paying user keeps paying.</t>
  </si>
  <si>
    <t xml:space="preserve">Coaching requests per user</t>
  </si>
  <si>
    <t xml:space="preserve">AI coaching requests one user makes in a month.</t>
  </si>
  <si>
    <t xml:space="preserve">Planning guess; the app caps it at 10 per day.</t>
  </si>
  <si>
    <t xml:space="preserve">Gemini price used</t>
  </si>
  <si>
    <t xml:space="preserve">We use the higher 2027 price so the result is conservative.</t>
  </si>
  <si>
    <t xml:space="preserve">Official Google price, starting 2027-01-01.</t>
  </si>
  <si>
    <t xml:space="preserve">Fixed-cost posture</t>
  </si>
  <si>
    <t xml:space="preserve">Which stack and AI-tools level the forecast uses.</t>
  </si>
  <si>
    <t xml:space="preserve">Change Assumptions B27 and B50.</t>
  </si>
  <si>
    <t xml:space="preserve">Not included</t>
  </si>
  <si>
    <t xml:space="preserve">Taxes, refunds and chargebacks, your salary, legal and accounting, domain, and usage above vendor free allowances.</t>
  </si>
  <si>
    <t xml:space="preserve">Add these before treating any result as take-home profit.</t>
  </si>
  <si>
    <t xml:space="preserve">Reading the workbook</t>
  </si>
  <si>
    <t xml:space="preserve">Yellow cell</t>
  </si>
  <si>
    <t xml:space="preserve">An input you can change. Everything else recalculates.</t>
  </si>
  <si>
    <t xml:space="preserve">Mostly on Assumptions.</t>
  </si>
  <si>
    <t xml:space="preserve">Blue / green cell</t>
  </si>
  <si>
    <t xml:space="preserve">Blue = a formula. Green = a key result.</t>
  </si>
  <si>
    <t xml:space="preserve">MODEL STATUS</t>
  </si>
  <si>
    <t xml:space="preserve">PASS means the arithmetic ties together. It does not mean the business will hit these numbers.</t>
  </si>
  <si>
    <t xml:space="preserve">See the Checks tab.</t>
  </si>
  <si>
    <t xml:space="preserve">SpeakSharp financial model — assumptions</t>
  </si>
  <si>
    <t xml:space="preserve">Yellow cells are editable assumptions. Blue cells are formulas. Forecast, not a promise; taxes, founder compensation and one-time legal/accounting costs are excluded.</t>
  </si>
  <si>
    <t xml:space="preserve">Current operating model</t>
  </si>
  <si>
    <t xml:space="preserve">Driver</t>
  </si>
  <si>
    <t xml:space="preserve">Value</t>
  </si>
  <si>
    <t xml:space="preserve">Units</t>
  </si>
  <si>
    <t xml:space="preserve">Type</t>
  </si>
  <si>
    <t xml:space="preserve">Source / rationale</t>
  </si>
  <si>
    <t xml:space="preserve">Owner note</t>
  </si>
  <si>
    <t xml:space="preserve">Forecast start</t>
  </si>
  <si>
    <t xml:space="preserve">month</t>
  </si>
  <si>
    <t xml:space="preserve">Input</t>
  </si>
  <si>
    <t xml:space="preserve">Current planning date</t>
  </si>
  <si>
    <t xml:space="preserve">Change to refresh timeline</t>
  </si>
  <si>
    <t xml:space="preserve">Forecast horizon</t>
  </si>
  <si>
    <t xml:space="preserve">months</t>
  </si>
  <si>
    <t xml:space="preserve">Formula</t>
  </si>
  <si>
    <t xml:space="preserve">Count of forecast month columns</t>
  </si>
  <si>
    <t xml:space="preserve">Fixed layout; extend Forecast 12M and this formula together</t>
  </si>
  <si>
    <t xml:space="preserve">%</t>
  </si>
  <si>
    <t xml:space="preserve">Preserved from prior models</t>
  </si>
  <si>
    <t xml:space="preserve">Target to validate</t>
  </si>
  <si>
    <t xml:space="preserve">New trial users / month</t>
  </si>
  <si>
    <t xml:space="preserve">users</t>
  </si>
  <si>
    <t xml:space="preserve">Implies 10 new paid/month at 2%</t>
  </si>
  <si>
    <t xml:space="preserve">Same ramp as prior</t>
  </si>
  <si>
    <t xml:space="preserve">New paid users / month</t>
  </si>
  <si>
    <t xml:space="preserve">Conversion × new trials</t>
  </si>
  <si>
    <t xml:space="preserve">Derived</t>
  </si>
  <si>
    <t xml:space="preserve">Cohort expires after month 6</t>
  </si>
  <si>
    <t xml:space="preserve">Free trial delay</t>
  </si>
  <si>
    <t xml:space="preserve">Current product: 30-day complete trial</t>
  </si>
  <si>
    <t xml:space="preserve">Creates one-month cash delay</t>
  </si>
  <si>
    <t xml:space="preserve">USD / paid user</t>
  </si>
  <si>
    <t xml:space="preserve">Current product posture</t>
  </si>
  <si>
    <t xml:space="preserve">Billing not yet activated</t>
  </si>
  <si>
    <t xml:space="preserve">AI generations / active trial or paid user / month</t>
  </si>
  <si>
    <t xml:space="preserve">calls</t>
  </si>
  <si>
    <t xml:space="preserve">Editable usage assumption</t>
  </si>
  <si>
    <t xml:space="preserve">Editable planning assumption; trial and paid capabilities are equal</t>
  </si>
  <si>
    <t xml:space="preserve">Input tokens / AI call</t>
  </si>
  <si>
    <t xml:space="preserve">tokens</t>
  </si>
  <si>
    <t xml:space="preserve">Approx. 8,000-char transcript plus prompt</t>
  </si>
  <si>
    <t xml:space="preserve">Editable</t>
  </si>
  <si>
    <t xml:space="preserve">Output tokens / AI call</t>
  </si>
  <si>
    <t xml:space="preserve">Two concise phrases in each coaching section</t>
  </si>
  <si>
    <t xml:space="preserve">Excludes Gemini thinking tokens (unmeasured; see B33)</t>
  </si>
  <si>
    <t xml:space="preserve">Stripe Payments rate</t>
  </si>
  <si>
    <t xml:space="preserve">% of charge</t>
  </si>
  <si>
    <t xml:space="preserve">Source</t>
  </si>
  <si>
    <t xml:space="preserve">Stripe standard domestic card price</t>
  </si>
  <si>
    <t xml:space="preserve">Excludes international/add-ons</t>
  </si>
  <si>
    <t xml:space="preserve">Stripe fixed fee</t>
  </si>
  <si>
    <t xml:space="preserve">USD / charge</t>
  </si>
  <si>
    <t xml:space="preserve">One monthly charge</t>
  </si>
  <si>
    <t xml:space="preserve">Stripe Billing rate</t>
  </si>
  <si>
    <t xml:space="preserve">% of billing volume</t>
  </si>
  <si>
    <t xml:space="preserve">Stripe Billing pay-as-you-go</t>
  </si>
  <si>
    <t xml:space="preserve">Gemini 3.8 Flash input — through 2026</t>
  </si>
  <si>
    <t xml:space="preserve">USD / 1M tokens</t>
  </si>
  <si>
    <t xml:space="preserve">Current code model gemini-3.8-flash (#1586); same published price as 3.6 Flash</t>
  </si>
  <si>
    <t xml:space="preserve">Gemini 3.8 Flash output — through 2026</t>
  </si>
  <si>
    <t xml:space="preserve">Official pricing; output price includes thinking tokens</t>
  </si>
  <si>
    <t xml:space="preserve">Gemini 3.8 Flash input — 2027 onward</t>
  </si>
  <si>
    <t xml:space="preserve">Published 2027 price (from 2027-01-01)</t>
  </si>
  <si>
    <t xml:space="preserve">Gemini 3.8 Flash output — 2027 onward</t>
  </si>
  <si>
    <t xml:space="preserve">Published 2027 price; includes thinking tokens</t>
  </si>
  <si>
    <t xml:space="preserve">Gemini price step date</t>
  </si>
  <si>
    <t xml:space="preserve">date</t>
  </si>
  <si>
    <t xml:space="preserve">Official pricing schedule</t>
  </si>
  <si>
    <t xml:space="preserve">Lean fixed software stack</t>
  </si>
  <si>
    <t xml:space="preserve">USD / month</t>
  </si>
  <si>
    <t xml:space="preserve">Supabase Pro $25 + Vercel Pro $20</t>
  </si>
  <si>
    <t xml:space="preserve">Gmail, PostHog, Sentry Developer, GitHub = $0 incremental</t>
  </si>
  <si>
    <t xml:space="preserve">Monitored fixed software stack</t>
  </si>
  <si>
    <t xml:space="preserve">Lean + Sentry Team $26</t>
  </si>
  <si>
    <t xml:space="preserve">Optional operating posture</t>
  </si>
  <si>
    <t xml:space="preserve">Selected fixed-cost posture</t>
  </si>
  <si>
    <t xml:space="preserve">Lean</t>
  </si>
  <si>
    <t xml:space="preserve">Lean / Monitored</t>
  </si>
  <si>
    <t xml:space="preserve">Base case</t>
  </si>
  <si>
    <t xml:space="preserve">Use dropdown</t>
  </si>
  <si>
    <t xml:space="preserve">Selected fixed OpEx (stack + AI coding tools)</t>
  </si>
  <si>
    <t xml:space="preserve">Selected stack plus selected AI coding tools (B51)</t>
  </si>
  <si>
    <t xml:space="preserve">Paid-acquisition scenario</t>
  </si>
  <si>
    <t xml:space="preserve">scenario</t>
  </si>
  <si>
    <t xml:space="preserve">Marketing target scenario</t>
  </si>
  <si>
    <t xml:space="preserve">Organic scenario remains separate</t>
  </si>
  <si>
    <t xml:space="preserve">CAC ceiling</t>
  </si>
  <si>
    <t xml:space="preserve">USD / new paid user</t>
  </si>
  <si>
    <t xml:space="preserve">Six-month contribution LTV ÷ 3</t>
  </si>
  <si>
    <t xml:space="preserve">Conservative 2027 Gemini price</t>
  </si>
  <si>
    <t xml:space="preserve">Starting cash</t>
  </si>
  <si>
    <t xml:space="preserve">USD</t>
  </si>
  <si>
    <t xml:space="preserve">Incremental model starts at zero</t>
  </si>
  <si>
    <t xml:space="preserve">Add cash balance if using as runway model</t>
  </si>
  <si>
    <t xml:space="preserve">Uncached coaching generations cap / user / UTC day</t>
  </si>
  <si>
    <t xml:space="preserve">generations</t>
  </si>
  <si>
    <t xml:space="preserve">contract.json uncachedGenerationCapPerUtcDay</t>
  </si>
  <si>
    <t xml:space="preserve">Counts generations, not provider calls (up to 2 attempts each)</t>
  </si>
  <si>
    <t xml:space="preserve">Thinking tokens / AI call (sensitivity)</t>
  </si>
  <si>
    <t xml:space="preserve">Unmeasured: thinking_level unset (default medium); token usage not logged</t>
  </si>
  <si>
    <t xml:space="preserve">Illustrative; replace with measured thoughtsTokenCount</t>
  </si>
  <si>
    <t xml:space="preserve">Historical assumptions preserved for like-for-like comparison</t>
  </si>
  <si>
    <t xml:space="preserve">Feb 1 original</t>
  </si>
  <si>
    <t xml:space="preserve">Feb 23 revised</t>
  </si>
  <si>
    <t xml:space="preserve">Archive lean</t>
  </si>
  <si>
    <t xml:space="preserve">Current</t>
  </si>
  <si>
    <t xml:space="preserve">Notes</t>
  </si>
  <si>
    <t xml:space="preserve">Current price is $10 after trial</t>
  </si>
  <si>
    <t xml:space="preserve">Conversion</t>
  </si>
  <si>
    <t xml:space="preserve">Held constant</t>
  </si>
  <si>
    <t xml:space="preserve">Current begins after one-month trial</t>
  </si>
  <si>
    <t xml:space="preserve">Paid lifetime (months)</t>
  </si>
  <si>
    <t xml:space="preserve">Lean current posture</t>
  </si>
  <si>
    <t xml:space="preserve">Revenue less variable cost</t>
  </si>
  <si>
    <t xml:space="preserve">AI coding tools — founder development subscriptions (added 2026-10-12)</t>
  </si>
  <si>
    <t xml:space="preserve">Codex Pro</t>
  </si>
  <si>
    <t xml:space="preserve">Product Owner, 2026-10-12</t>
  </si>
  <si>
    <t xml:space="preserve">Current plan</t>
  </si>
  <si>
    <t xml:space="preserve">Claude Max 5x</t>
  </si>
  <si>
    <t xml:space="preserve">AI coding tools — pre-launch total</t>
  </si>
  <si>
    <t xml:space="preserve">Codex Pro + Claude Max 5x</t>
  </si>
  <si>
    <t xml:space="preserve">Pre-launch only; not in the forecast base</t>
  </si>
  <si>
    <t xml:space="preserve">Post-launch option — two $20 plans</t>
  </si>
  <si>
    <t xml:space="preserve">Sensitivity</t>
  </si>
  <si>
    <t xml:space="preserve">Post-launch option — one $20 plan</t>
  </si>
  <si>
    <t xml:space="preserve">Base case after launch</t>
  </si>
  <si>
    <t xml:space="preserve">Selected AI-tools posture</t>
  </si>
  <si>
    <t xml:space="preserve">One at $20</t>
  </si>
  <si>
    <t xml:space="preserve">Pre-launch / Two at $20 / One at $20 / Exclude</t>
  </si>
  <si>
    <t xml:space="preserve">PO: $200 is pre-launch only; after launch $20 base, $40 sensitivity</t>
  </si>
  <si>
    <t xml:space="preserve">Selected AI coding tools / month</t>
  </si>
  <si>
    <t xml:space="preserve">Added to fixed OpEx (Assumptions B28)</t>
  </si>
  <si>
    <t xml:space="preserve">Coaching volume and retry sensitivity (added 2026-10-12; not in headline results)</t>
  </si>
  <si>
    <t xml:space="preserve">Days in longest month (cap exposure)</t>
  </si>
  <si>
    <t xml:space="preserve">days</t>
  </si>
  <si>
    <t xml:space="preserve">31-day month allows 310 generations at the cap</t>
  </si>
  <si>
    <t xml:space="preserve">Worst case month</t>
  </si>
  <si>
    <t xml:space="preserve">Billed provider attempts / generation — base</t>
  </si>
  <si>
    <t xml:space="preserve">attempts</t>
  </si>
  <si>
    <t xml:space="preserve">Headline results assume no billed retries</t>
  </si>
  <si>
    <t xml:space="preserve">Sensitivity lever</t>
  </si>
  <si>
    <t xml:space="preserve">Billed provider attempts / generation — retry worst case</t>
  </si>
  <si>
    <t xml:space="preserve">index.ts AI_PROVIDER_ATTEMPTS = 2 (retry only after transport error, timeout or provider 5xx)</t>
  </si>
  <si>
    <t xml:space="preserve">Whether failed attempts are billed is unknown</t>
  </si>
  <si>
    <t xml:space="preserve">Software stack — historical versus current</t>
  </si>
  <si>
    <t xml:space="preserve">Like-for-like monthly costs; official prices re-checked 2026-10-12 with no list-price change since 2026-09-05. Amounts are list base fees, not invoices or total-spend guarantees. Historical Resend remains shown; current/project email uses existing Gmail at $0 incremental. Google Workspace is an optional $7/month alternative, not in the base case.</t>
  </si>
  <si>
    <t xml:space="preserve">Current base posture: private/on-device STT; no AssemblyAI and no browser-native STT. Gemini is used only for user-requested coaching. Vendor usage overages are excluded until actual volumes exceed included allowances.</t>
  </si>
  <si>
    <t xml:space="preserve">Posture</t>
  </si>
  <si>
    <t xml:space="preserve">Fixed monthly OpEx</t>
  </si>
  <si>
    <t xml:space="preserve">Service / function</t>
  </si>
  <si>
    <t xml:space="preserve">Billing basis</t>
  </si>
  <si>
    <t xml:space="preserve">Current posture</t>
  </si>
  <si>
    <t xml:space="preserve">Official source</t>
  </si>
  <si>
    <t xml:space="preserve">Savings vs historical</t>
  </si>
  <si>
    <t xml:space="preserve">Supabase</t>
  </si>
  <si>
    <t xml:space="preserve">Monthly</t>
  </si>
  <si>
    <t xml:space="preserve">Pro; one Micro project covered by compute credit</t>
  </si>
  <si>
    <t xml:space="preserve">https://supabase.com/pricing</t>
  </si>
  <si>
    <t xml:space="preserve">Optional Gmail Workspace</t>
  </si>
  <si>
    <t xml:space="preserve">Vercel</t>
  </si>
  <si>
    <t xml:space="preserve">Pro $20 platform fee incl. $20 usage credit; Flat Rate CDN 1M requests / 1 TB</t>
  </si>
  <si>
    <t xml:space="preserve">https://vercel.com/pricing</t>
  </si>
  <si>
    <t xml:space="preserve">Total with Workspace</t>
  </si>
  <si>
    <t xml:space="preserve">Sentry</t>
  </si>
  <si>
    <t xml:space="preserve">Developer in lean; Team $26/mo is the annual-billing monthly equivalent ($312/yr)</t>
  </si>
  <si>
    <t xml:space="preserve">https://sentry.io/pricing/</t>
  </si>
  <si>
    <t xml:space="preserve">Email</t>
  </si>
  <si>
    <t xml:space="preserve">Historical Resend; current existing Gmail</t>
  </si>
  <si>
    <t xml:space="preserve">https://resend.com/pricing</t>
  </si>
  <si>
    <t xml:space="preserve">PostHog</t>
  </si>
  <si>
    <t xml:space="preserve">Usage</t>
  </si>
  <si>
    <t xml:space="preserve">Free tier until limits are exceeded</t>
  </si>
  <si>
    <t xml:space="preserve">https://posthog.com/pricing</t>
  </si>
  <si>
    <t xml:space="preserve">GitHub / Actions</t>
  </si>
  <si>
    <t xml:space="preserve">Public repository; standard public Actions minutes</t>
  </si>
  <si>
    <t xml:space="preserve">https://github.com/pricing</t>
  </si>
  <si>
    <t xml:space="preserve">AssemblyAI</t>
  </si>
  <si>
    <t xml:space="preserve">Not in current customer path</t>
  </si>
  <si>
    <t xml:space="preserve">https://www.assemblyai.com/pricing</t>
  </si>
  <si>
    <t xml:space="preserve">Browser-native STT</t>
  </si>
  <si>
    <t xml:space="preserve">Not used</t>
  </si>
  <si>
    <t xml:space="preserve">n/a</t>
  </si>
  <si>
    <t xml:space="preserve">Private STT model</t>
  </si>
  <si>
    <t xml:space="preserve">Included hosting</t>
  </si>
  <si>
    <t xml:space="preserve">No hosted per-audio inference charge; ~80.55 MB model served from app hosting; download/storage/CDN overages excluded</t>
  </si>
  <si>
    <t xml:space="preserve">Local bundle: frontend/public/models/whisper-base.en</t>
  </si>
  <si>
    <t xml:space="preserve">Gemini coaching</t>
  </si>
  <si>
    <t xml:space="preserve">Per token (gemini-3.8-flash); modeled in variable costs</t>
  </si>
  <si>
    <t xml:space="preserve">https://ai.google.dev/gemini-api/docs/pricing</t>
  </si>
  <si>
    <t xml:space="preserve">Stripe</t>
  </si>
  <si>
    <t xml:space="preserve">Per successful monthly charge</t>
  </si>
  <si>
    <t xml:space="preserve">https://stripe.com/us/pricing</t>
  </si>
  <si>
    <t xml:space="preserve">Fixed monthly total</t>
  </si>
  <si>
    <t xml:space="preserve">Variable-cost comparison per paid user / month</t>
  </si>
  <si>
    <t xml:space="preserve">Variable item</t>
  </si>
  <si>
    <t xml:space="preserve">Current 2026</t>
  </si>
  <si>
    <t xml:space="preserve">Current 2027</t>
  </si>
  <si>
    <t xml:space="preserve">Assumption</t>
  </si>
  <si>
    <t xml:space="preserve">Impact</t>
  </si>
  <si>
    <t xml:space="preserve">Cloud STT</t>
  </si>
  <si>
    <t xml:space="preserve">Old: 10 hr × $0.47; current private STT</t>
  </si>
  <si>
    <t xml:space="preserve">Removed</t>
  </si>
  <si>
    <t xml:space="preserve">Stripe Payments + Billing</t>
  </si>
  <si>
    <t xml:space="preserve">One $10 domestic monthly charge</t>
  </si>
  <si>
    <t xml:space="preserve">Current unavoidable payment cost</t>
  </si>
  <si>
    <t xml:space="preserve">10 calls; 2,500 input + 200 output tokens each</t>
  </si>
  <si>
    <t xml:space="preserve">Very small at modeled use</t>
  </si>
  <si>
    <t xml:space="preserve">Total variable cost</t>
  </si>
  <si>
    <t xml:space="preserve">Sum</t>
  </si>
  <si>
    <t xml:space="preserve">Drives contribution</t>
  </si>
  <si>
    <t xml:space="preserve">Gemini model options and coaching cost</t>
  </si>
  <si>
    <t xml:space="preserve">Current code uses gemini-3.8-flash (#1586, merged 2026-10-11), priced the same as Gemini 3.6 Flash. Gemini 3 Flash Preview is the former code model. Gemini 3.5 Flash-Lite is the lower-cost candidate but requires a real coaching-quality benchmark before switching.</t>
  </si>
  <si>
    <t xml:space="preserve">Model</t>
  </si>
  <si>
    <t xml:space="preserve">Status</t>
  </si>
  <si>
    <t xml:space="preserve">Input $/1M</t>
  </si>
  <si>
    <t xml:space="preserve">Output $/1M</t>
  </si>
  <si>
    <t xml:space="preserve">Cost / call</t>
  </si>
  <si>
    <t xml:space="preserve">Cost / paid user / month</t>
  </si>
  <si>
    <t xml:space="preserve">Relative fit</t>
  </si>
  <si>
    <t xml:space="preserve">Decision</t>
  </si>
  <si>
    <t xml:space="preserve">Gemini 3 Flash Preview</t>
  </si>
  <si>
    <t xml:space="preserve">Former code model</t>
  </si>
  <si>
    <t xml:space="preserve">Replaced in #1586</t>
  </si>
  <si>
    <t xml:space="preserve">Replaced</t>
  </si>
  <si>
    <t xml:space="preserve">Gemini 3.8 Flash — through 2026</t>
  </si>
  <si>
    <t xml:space="preserve">Current code model</t>
  </si>
  <si>
    <t xml:space="preserve">Same published price as 3.6 Flash</t>
  </si>
  <si>
    <t xml:space="preserve">Base forecast</t>
  </si>
  <si>
    <t xml:space="preserve">Gemini 3.8 Flash — 2027 onward</t>
  </si>
  <si>
    <t xml:space="preserve">Same model; published step-up</t>
  </si>
  <si>
    <t xml:space="preserve">Base forecast from Jan</t>
  </si>
  <si>
    <t xml:space="preserve">Gemini 3.5 Flash-Lite</t>
  </si>
  <si>
    <t xml:space="preserve">Current low-cost option</t>
  </si>
  <si>
    <t xml:space="preserve">Cheaper; quality must be proven</t>
  </si>
  <si>
    <t xml:space="preserve">Benchmark candidate</t>
  </si>
  <si>
    <t xml:space="preserve">https://ai.google.dev/gemini-api/docs/models/gemini-3.5-flash-lite</t>
  </si>
  <si>
    <t xml:space="preserve">Cost sensitivity by AI calls per paid user / month</t>
  </si>
  <si>
    <t xml:space="preserve">Calls / month</t>
  </si>
  <si>
    <t xml:space="preserve">Legacy 3 Flash</t>
  </si>
  <si>
    <t xml:space="preserve">3.8 Flash 2026</t>
  </si>
  <si>
    <t xml:space="preserve">3.8 Flash 2027</t>
  </si>
  <si>
    <t xml:space="preserve">3.5 Flash-Lite</t>
  </si>
  <si>
    <t xml:space="preserve">Recommendation: Gemini 3.8 Flash is now the code model and the planning baseline. At modeled usage the 2027 price is about five cents per paid user per month before thinking tokens. Thinking tokens are billed as output and are not yet measured; see Price Sensitivity for the heavy-user threshold.</t>
  </si>
  <si>
    <t xml:space="preserve">Prior model reconstruction and reconciliation</t>
  </si>
  <si>
    <t xml:space="preserve">Historical numbers are preserved as previously stated; recalculated rows expose where a prior conclusion did not tie to its own assumptions.</t>
  </si>
  <si>
    <t xml:space="preserve">Comparison basis</t>
  </si>
  <si>
    <t xml:space="preserve">Conclusion</t>
  </si>
  <si>
    <t xml:space="preserve">Current is lower than Feb 23</t>
  </si>
  <si>
    <t xml:space="preserve">% of new trials</t>
  </si>
  <si>
    <t xml:space="preserve">Same assumption</t>
  </si>
  <si>
    <t xml:space="preserve">Users</t>
  </si>
  <si>
    <t xml:space="preserve">Same ramp; current starts after trial</t>
  </si>
  <si>
    <t xml:space="preserve">Months</t>
  </si>
  <si>
    <t xml:space="preserve">Current lean is $49 below Feb 23</t>
  </si>
  <si>
    <t xml:space="preserve">Private STT removes cloud-STT cost</t>
  </si>
  <si>
    <t xml:space="preserve">Current nearly matches Feb 23 at lower price</t>
  </si>
  <si>
    <t xml:space="preserve">Reported LTV</t>
  </si>
  <si>
    <t xml:space="preserve">Historical stated value</t>
  </si>
  <si>
    <t xml:space="preserve">Recalculated 6-month LTV</t>
  </si>
  <si>
    <t xml:space="preserve">Contribution × 6</t>
  </si>
  <si>
    <t xml:space="preserve">Feb 23 $85 did not reconcile</t>
  </si>
  <si>
    <t xml:space="preserve">Reported CAC target</t>
  </si>
  <si>
    <t xml:space="preserve">Based on reported $85 LTV</t>
  </si>
  <si>
    <t xml:space="preserve">Recalculated 3:1 CAC ceiling</t>
  </si>
  <si>
    <t xml:space="preserve">Use formula-driven value</t>
  </si>
  <si>
    <t xml:space="preserve">Reported break-even paid users</t>
  </si>
  <si>
    <t xml:space="preserve">Archive lean claim was high</t>
  </si>
  <si>
    <t xml:space="preserve">Recalculated break-even paid users</t>
  </si>
  <si>
    <t xml:space="preserve">Fixed OpEx ÷ contribution, rounded up</t>
  </si>
  <si>
    <t xml:space="preserve">What still holds: a lean software stack can break even with a small paid base. What changes: the current private-STT architecture removes the largest old variable cost, and the fixed stack is materially lower. What did not hold: the prior $85 LTV and archive claim of 13 break-even users were not consistent with their own inputs. Current pricing introduces a 30-day delay before the first paid cohort, so cash timing—not unit margin—is the early constraint.</t>
  </si>
  <si>
    <t xml:space="preserve">12-month forecast — same growth ramp, current cash timing</t>
  </si>
  <si>
    <t xml:space="preserve">500 new trials/month × 2% conversion = 10 new paid users/month. Each paid cohort remains for six months. Current plans have a one-month trial delay; historical comparison does not.</t>
  </si>
  <si>
    <t xml:space="preserve">Month #</t>
  </si>
  <si>
    <t xml:space="preserve">Historical Feb 23 comparison — 10 new paid users begin immediately</t>
  </si>
  <si>
    <t xml:space="preserve">Active paid users</t>
  </si>
  <si>
    <t xml:space="preserve">Contribution</t>
  </si>
  <si>
    <t xml:space="preserve">Current organic base case — one-month trial delay</t>
  </si>
  <si>
    <t xml:space="preserve">New trial users</t>
  </si>
  <si>
    <t xml:space="preserve">New paid starts</t>
  </si>
  <si>
    <t xml:space="preserve">Stripe cost</t>
  </si>
  <si>
    <t xml:space="preserve">Gemini cost (paid + trials)</t>
  </si>
  <si>
    <t xml:space="preserve">Fixed OpEx (stack + AI coding tools)</t>
  </si>
  <si>
    <t xml:space="preserve">Acquisition spend</t>
  </si>
  <si>
    <t xml:space="preserve">Monthly profitable?</t>
  </si>
  <si>
    <t xml:space="preserve">Cumulative cash non-negative?</t>
  </si>
  <si>
    <t xml:space="preserve">Current paid-acquisition scenario — spend at 3:1 CAC ceiling</t>
  </si>
  <si>
    <t xml:space="preserve">Launch cap plan — at most 100 active users, then a gradual rise to 250</t>
  </si>
  <si>
    <t xml:space="preserve">Product Owner direction (2026-10-12): at most 100 active users (trial + paid) for the first 3 months, then a gradual (linear, not stepped) rise to 250 by month 12. Free slots under the cap are filled with 30-day trials; trial users who do not convert leave the active count. Conversion, paid lifetime, coaching usage and fixed OpEx come from Assumptions. Values are expected averages, so fractions are not whole people. Headline figures exclude Gemini thinking tokens and provider retries. Forecast 12M and Price Sensitivity remain the uncapped 500-trials/month case.</t>
  </si>
  <si>
    <t xml:space="preserve">Inputs</t>
  </si>
  <si>
    <t xml:space="preserve">Active-user cap at launch (trial + paid)</t>
  </si>
  <si>
    <t xml:space="preserve">Months held at the launch cap</t>
  </si>
  <si>
    <t xml:space="preserve">Active-user cap at month 12</t>
  </si>
  <si>
    <t xml:space="preserve">Assumptions B8</t>
  </si>
  <si>
    <t xml:space="preserve">months (Assumptions B11)</t>
  </si>
  <si>
    <t xml:space="preserve">USD / month (Assumptions B28)</t>
  </si>
  <si>
    <t xml:space="preserve">Prices tested (from Price Sensitivity)</t>
  </si>
  <si>
    <t xml:space="preserve">Monthly user plan</t>
  </si>
  <si>
    <t xml:space="preserve">Active-user cap</t>
  </si>
  <si>
    <t xml:space="preserve">New paying users (converted last month)</t>
  </si>
  <si>
    <t xml:space="preserve">Active paying users</t>
  </si>
  <si>
    <t xml:space="preserve">Trial users this month (fill free slots)</t>
  </si>
  <si>
    <t xml:space="preserve">Total active users</t>
  </si>
  <si>
    <t xml:space="preserve">Gemini cost / active user</t>
  </si>
  <si>
    <t xml:space="preserve">Monthly operating profit by price (no ad spend)</t>
  </si>
  <si>
    <t xml:space="preserve">flag: profit &gt; 0 @ price 1</t>
  </si>
  <si>
    <t xml:space="preserve">flag: cumulative ≥ 0 @ price 1</t>
  </si>
  <si>
    <t xml:space="preserve">flag: profit &gt; 0 @ price 2</t>
  </si>
  <si>
    <t xml:space="preserve">flag: cumulative ≥ 0 @ price 2</t>
  </si>
  <si>
    <t xml:space="preserve">flag: profit &gt; 0 @ price 3</t>
  </si>
  <si>
    <t xml:space="preserve">flag: cumulative ≥ 0 @ price 3</t>
  </si>
  <si>
    <t xml:space="preserve">Launch cap plan results</t>
  </si>
  <si>
    <t xml:space="preserve">Alternative</t>
  </si>
  <si>
    <t xml:space="preserve">Note</t>
  </si>
  <si>
    <t xml:space="preserve">Price</t>
  </si>
  <si>
    <t xml:space="preserve">Paying users at month 12</t>
  </si>
  <si>
    <t xml:space="preserve">same at every price (conversion held constant)</t>
  </si>
  <si>
    <t xml:space="preserve">Operating profit in month 12</t>
  </si>
  <si>
    <t xml:space="preserve">12-month cumulative cash</t>
  </si>
  <si>
    <t xml:space="preserve">First profitable month</t>
  </si>
  <si>
    <t xml:space="preserve">Cumulative cash ≥ $0 from month</t>
  </si>
  <si>
    <t xml:space="preserve">What it takes to break even under the cap (2027 Gemini price, steady state)</t>
  </si>
  <si>
    <t xml:space="preserve">Paying users needed at the launch cap</t>
  </si>
  <si>
    <t xml:space="preserve">every active user gets coaching</t>
  </si>
  <si>
    <t xml:space="preserve">… as a share of active users</t>
  </si>
  <si>
    <t xml:space="preserve">Conversion needed to hold that many at the launch cap</t>
  </si>
  <si>
    <t xml:space="preserve">paid = L·c·(cap − paid)</t>
  </si>
  <si>
    <t xml:space="preserve">Paying users needed at the month-12 cap</t>
  </si>
  <si>
    <t xml:space="preserve">Conversion needed to hold that many at the month-12 cap</t>
  </si>
  <si>
    <t xml:space="preserve">Steady-state paying users at assumed conversion — launch cap</t>
  </si>
  <si>
    <t xml:space="preserve">if the cap held long enough</t>
  </si>
  <si>
    <t xml:space="preserve">Steady-state paying users at assumed conversion — month-12 cap</t>
  </si>
  <si>
    <t xml:space="preserve">Unit economics, CAC and LTV</t>
  </si>
  <si>
    <t xml:space="preserve">All values are contribution economics, not GAAP profit. The base case uses the higher published 2027 Gemini 3.8 Flash price so the CAC target is conservative. $7 and $5 are on Price Sensitivity.</t>
  </si>
  <si>
    <t xml:space="preserve">Current value</t>
  </si>
  <si>
    <t xml:space="preserve">Plain-English meaning</t>
  </si>
  <si>
    <t xml:space="preserve">Monthly subscription price</t>
  </si>
  <si>
    <t xml:space="preserve">What one paid user pays each month</t>
  </si>
  <si>
    <t xml:space="preserve">Stripe Payments fee</t>
  </si>
  <si>
    <t xml:space="preserve">Card-processing cost on one $10 charge</t>
  </si>
  <si>
    <t xml:space="preserve">Stripe Billing fee</t>
  </si>
  <si>
    <t xml:space="preserve">Subscription-billing cost on one $10 charge</t>
  </si>
  <si>
    <t xml:space="preserve">Stripe total</t>
  </si>
  <si>
    <t xml:space="preserve">Payments plus Billing</t>
  </si>
  <si>
    <t xml:space="preserve">Gemini cost / user — 2026</t>
  </si>
  <si>
    <t xml:space="preserve">Modeled coaching calls at 2026 rate</t>
  </si>
  <si>
    <t xml:space="preserve">Gemini cost / user — 2027</t>
  </si>
  <si>
    <t xml:space="preserve">Modeled coaching calls at published 2027 rate</t>
  </si>
  <si>
    <t xml:space="preserve">Revenue left after variable costs</t>
  </si>
  <si>
    <t xml:space="preserve">Contribution divided by price</t>
  </si>
  <si>
    <t xml:space="preserve">Break-even paid users — lean</t>
  </si>
  <si>
    <t xml:space="preserve">Active paid users to cover the $45 lean stack only (all-in incl. AI tools: Price Sensitivity)</t>
  </si>
  <si>
    <t xml:space="preserve">Break-even paid users — monitored</t>
  </si>
  <si>
    <t xml:space="preserve">Active paid users to cover the $71 monitored stack only</t>
  </si>
  <si>
    <t xml:space="preserve">Six-month contribution LTV</t>
  </si>
  <si>
    <t xml:space="preserve">Contribution earned over assumed paid lifetime</t>
  </si>
  <si>
    <t xml:space="preserve">Maximum acquisition cost at a 3× LTV-to-CAC target</t>
  </si>
  <si>
    <t xml:space="preserve">Months of contribution needed to repay CAC</t>
  </si>
  <si>
    <t xml:space="preserve">Lifetime and CAC sensitivity</t>
  </si>
  <si>
    <t xml:space="preserve">Contribution LTV</t>
  </si>
  <si>
    <t xml:space="preserve">Interpretation</t>
  </si>
  <si>
    <t xml:space="preserve">Sensitivity only</t>
  </si>
  <si>
    <t xml:space="preserve">Base assumption</t>
  </si>
  <si>
    <t xml:space="preserve">Short definitions</t>
  </si>
  <si>
    <t xml:space="preserve">CAC</t>
  </si>
  <si>
    <t xml:space="preserve">Cost to win one paying customer.</t>
  </si>
  <si>
    <t xml:space="preserve">LTV</t>
  </si>
  <si>
    <t xml:space="preserve">Contribution earned over a customer's paid lifetime.</t>
  </si>
  <si>
    <t xml:space="preserve">Revenue left after variable costs such as Stripe and Gemini.</t>
  </si>
  <si>
    <t xml:space="preserve">Fixed OpEx</t>
  </si>
  <si>
    <t xml:space="preserve">Monthly software cost that does not change with each customer.</t>
  </si>
  <si>
    <t xml:space="preserve">Break-even</t>
  </si>
  <si>
    <t xml:space="preserve">The point where monthly contribution covers fixed OpEx.</t>
  </si>
  <si>
    <t xml:space="preserve">The share of new trial users who become paid.</t>
  </si>
  <si>
    <t xml:space="preserve">MAU</t>
  </si>
  <si>
    <t xml:space="preserve">Monthly active users.</t>
  </si>
  <si>
    <t xml:space="preserve">Price sensitivity — $10 versus $7 and $5</t>
  </si>
  <si>
    <t xml:space="preserve">Same unvalidated ramp and usage as Assumptions (500 trials/month, 2% conversion, 6-month lifetime, 10 coaching calls/user/month). Only price changes; conversion and lifetime are held constant, which is itself an untested assumption. Yellow = editable input; blue = formula; green = key output. Gemini at the published 2027 price unless a row says otherwise. Headline rows EXCLUDE Gemini thinking tokens and provider retries; see the companion rows (thinking on paid and trial users) and the retry sensitivity.</t>
  </si>
  <si>
    <t xml:space="preserve">Unit economics per paid user</t>
  </si>
  <si>
    <t xml:space="preserve">Stripe share of price</t>
  </si>
  <si>
    <t xml:space="preserve">% of price</t>
  </si>
  <si>
    <t xml:space="preserve">10 calls; no thinking tokens</t>
  </si>
  <si>
    <t xml:space="preserve">Break-even active paid users (rounded up)</t>
  </si>
  <si>
    <t xml:space="preserve">Fixed cost covered</t>
  </si>
  <si>
    <t xml:space="preserve">Fixed USD / month</t>
  </si>
  <si>
    <t xml:space="preserve">Trial coaching cost / month (all trials, 2027)</t>
  </si>
  <si>
    <t xml:space="preserve">Trials cost coaching but pay nothing</t>
  </si>
  <si>
    <t xml:space="preserve">Lean stack only (Unit Economics definition)</t>
  </si>
  <si>
    <t xml:space="preserve">Lean stack + trial coaching</t>
  </si>
  <si>
    <t xml:space="preserve">Monitored stack + trial coaching</t>
  </si>
  <si>
    <t xml:space="preserve">ALL-IN: selected stack + AI coding tools + trial coaching (excl. thinking)</t>
  </si>
  <si>
    <t xml:space="preserve">Steady state and what a lower price must earn back</t>
  </si>
  <si>
    <t xml:space="preserve">Steady-state active paid users</t>
  </si>
  <si>
    <t xml:space="preserve">Steady-state monthly profit (all-in, excl. thinking)</t>
  </si>
  <si>
    <t xml:space="preserve">Paid users needed to match current-price profit</t>
  </si>
  <si>
    <t xml:space="preserve">Trial-to-paid conversion needed for that</t>
  </si>
  <si>
    <t xml:space="preserve">vs 2.00% assumed</t>
  </si>
  <si>
    <t xml:space="preserve">Paid-user multiple versus assumption</t>
  </si>
  <si>
    <t xml:space="preserve">x</t>
  </si>
  <si>
    <t xml:space="preserve">Profitability timing (month numbers from Forecast 12M)</t>
  </si>
  <si>
    <t xml:space="preserve">Basis</t>
  </si>
  <si>
    <t xml:space="preserve">Organic: first profitable month</t>
  </si>
  <si>
    <t xml:space="preserve">First month the flag row turns 1</t>
  </si>
  <si>
    <t xml:space="preserve">Organic: cumulative cash ≥ $0 from month</t>
  </si>
  <si>
    <t xml:space="preserve">Paid CAC at own 3:1 ceiling: first profitable month</t>
  </si>
  <si>
    <t xml:space="preserve">Paid scenario spends each price’s own CAC ceiling (row 14)</t>
  </si>
  <si>
    <t xml:space="preserve">Paid CAC at own 3:1 ceiling: cumulative cash ≥ $0 from month</t>
  </si>
  <si>
    <t xml:space="preserve">Break-even price by active paid users</t>
  </si>
  <si>
    <t xml:space="preserve">Lean only</t>
  </si>
  <si>
    <t xml:space="preserve">Lean + trials</t>
  </si>
  <si>
    <t xml:space="preserve">Monitored + trials</t>
  </si>
  <si>
    <t xml:space="preserve">All-in (selected)</t>
  </si>
  <si>
    <t xml:space="preserve">(fixed ÷ users + $0.30 + Gemini) ÷ (1 − 3.6%)</t>
  </si>
  <si>
    <t xml:space="preserve">Heavy-user coaching exposure (2027 Gemini price; paid user at the daily generation cap)</t>
  </si>
  <si>
    <t xml:space="preserve">Days in longest month (Assumptions B55)</t>
  </si>
  <si>
    <t xml:space="preserve">Max uncached generations / user / month</t>
  </si>
  <si>
    <t xml:space="preserve">cap × days; generations, not provider calls</t>
  </si>
  <si>
    <t xml:space="preserve">Gemini cost / call, no thinking</t>
  </si>
  <si>
    <t xml:space="preserve">USD / call</t>
  </si>
  <si>
    <t xml:space="preserve">Gemini cost / call, with thinking (Assumptions B33)</t>
  </si>
  <si>
    <t xml:space="preserve">Contribution, modeled user (10 calls) with thinking</t>
  </si>
  <si>
    <t xml:space="preserve">Contribution, cap-maxing user, no thinking (base billed attempts)</t>
  </si>
  <si>
    <t xml:space="preserve">Contribution, cap-maxing user, with thinking (base billed attempts)</t>
  </si>
  <si>
    <t xml:space="preserve">Thinking tokens / call where a cap-maxing user turns negative (base)</t>
  </si>
  <si>
    <t xml:space="preserve">tokens / call</t>
  </si>
  <si>
    <t xml:space="preserve">Same, if every generation bills both provider attempts (retry worst case, B57)</t>
  </si>
  <si>
    <t xml:space="preserve">tokens / call; negative = loses money even with no thinking</t>
  </si>
  <si>
    <t xml:space="preserve">AI coding tools: all-in break-even and steady-state profit by tool spend (lean stack + trial coaching)</t>
  </si>
  <si>
    <t xml:space="preserve">AI coding tools / month</t>
  </si>
  <si>
    <t xml:space="preserve">Pre-launch (Codex Pro + Claude Max 5x)</t>
  </si>
  <si>
    <t xml:space="preserve">Two $20 plans</t>
  </si>
  <si>
    <t xml:space="preserve">One $20 plan</t>
  </si>
  <si>
    <t xml:space="preserve">None</t>
  </si>
  <si>
    <t xml:space="preserve">Profit = 60 paid users × contribution − $45 stack − tools − trial coaching (2027 Gemini price).</t>
  </si>
  <si>
    <t xml:space="preserve">Companion scenario — illustrative thinking tokens (Assumptions B33) on every coaching call, paid AND trial users</t>
  </si>
  <si>
    <t xml:space="preserve">Units / note</t>
  </si>
  <si>
    <t xml:space="preserve">Gemini cost / user / month, with thinking</t>
  </si>
  <si>
    <t xml:space="preserve">calls × cost per call</t>
  </si>
  <si>
    <t xml:space="preserve">Contribution / paid user, with thinking</t>
  </si>
  <si>
    <t xml:space="preserve">Trial coaching cost / month, with thinking</t>
  </si>
  <si>
    <t xml:space="preserve">all trials</t>
  </si>
  <si>
    <t xml:space="preserve">Added trial cost from thinking alone</t>
  </si>
  <si>
    <t xml:space="preserve">USD / month; compare with $45 stack</t>
  </si>
  <si>
    <t xml:space="preserve">Break-even — lean stack + trial coaching, no thinking</t>
  </si>
  <si>
    <t xml:space="preserve">headline (row 20)</t>
  </si>
  <si>
    <t xml:space="preserve">Break-even — lean stack + trial coaching, WITH thinking</t>
  </si>
  <si>
    <t xml:space="preserve">Break-even — all-in (stack + AI tools), WITH thinking</t>
  </si>
  <si>
    <t xml:space="preserve">Profit at 60 paid — lean stack, no AI tools, no thinking</t>
  </si>
  <si>
    <t xml:space="preserve">software-only</t>
  </si>
  <si>
    <t xml:space="preserve">Profit at 60 paid — lean stack, no AI tools, WITH thinking</t>
  </si>
  <si>
    <t xml:space="preserve">Profit at 60 paid — all-in, WITH thinking</t>
  </si>
  <si>
    <t xml:space="preserve">stack + AI tools</t>
  </si>
  <si>
    <t xml:space="preserve">Timing detail — monthly profit by price (same ramp, fixed cost and Gemini cost as Forecast 12M)</t>
  </si>
  <si>
    <t xml:space="preserve">Organic operating profit</t>
  </si>
  <si>
    <t xml:space="preserve">Organic cumulative cash</t>
  </si>
  <si>
    <t xml:space="preserve">Paid-CAC operating profit</t>
  </si>
  <si>
    <t xml:space="preserve">Paid-CAC cumulative cash</t>
  </si>
  <si>
    <t xml:space="preserve">flag: organic profit &gt; 0</t>
  </si>
  <si>
    <t xml:space="preserve">flag: organic cumulative ≥ 0</t>
  </si>
  <si>
    <t xml:space="preserve">flag: paid-CAC profit &gt; 0</t>
  </si>
  <si>
    <t xml:space="preserve">flag: paid-CAC cumulative ≥ 0</t>
  </si>
  <si>
    <t xml:space="preserve">Model checks and audit controls</t>
  </si>
  <si>
    <t xml:space="preserve">PASS means the model ties to its stated assumptions. It does not mean the commercial assumptions will occur.</t>
  </si>
  <si>
    <t xml:space="preserve">Check</t>
  </si>
  <si>
    <t xml:space="preserve">Actual</t>
  </si>
  <si>
    <t xml:space="preserve">Expected</t>
  </si>
  <si>
    <t xml:space="preserve">Difference</t>
  </si>
  <si>
    <t xml:space="preserve">Tolerance</t>
  </si>
  <si>
    <t xml:space="preserve">Where to fix / note</t>
  </si>
  <si>
    <t xml:space="preserve">New paid ramp equals trials × conversion</t>
  </si>
  <si>
    <t xml:space="preserve">Assumptions B8:B10</t>
  </si>
  <si>
    <t xml:space="preserve">Lean fixed stack ties</t>
  </si>
  <si>
    <t xml:space="preserve">Stack Comparison C7:C17</t>
  </si>
  <si>
    <t xml:space="preserve">Monitored fixed stack ties</t>
  </si>
  <si>
    <t xml:space="preserve">Stack Comparison D7:D17</t>
  </si>
  <si>
    <t xml:space="preserve">Unit contribution ties</t>
  </si>
  <si>
    <t xml:space="preserve">Unit Economics B5:B11</t>
  </si>
  <si>
    <t xml:space="preserve">LTV ties to lifetime</t>
  </si>
  <si>
    <t xml:space="preserve">Unit Economics B15</t>
  </si>
  <si>
    <t xml:space="preserve">CAC ceiling is LTV / 3</t>
  </si>
  <si>
    <t xml:space="preserve">Unit Economics B16</t>
  </si>
  <si>
    <t xml:space="preserve">Current steady-state paid users</t>
  </si>
  <si>
    <t xml:space="preserve">Forecast 12M row 18</t>
  </si>
  <si>
    <t xml:space="preserve">Current Month 1 paid users reflect trial</t>
  </si>
  <si>
    <t xml:space="preserve">Forecast 12M B18</t>
  </si>
  <si>
    <t xml:space="preserve">Historical Month 1 profit reproduces revised model</t>
  </si>
  <si>
    <t xml:space="preserve">10 × $9.48 − $94</t>
  </si>
  <si>
    <t xml:space="preserve">Prior $85 LTV mismatch is surfaced</t>
  </si>
  <si>
    <t xml:space="preserve">OK means the historical mismatch is visible</t>
  </si>
  <si>
    <t xml:space="preserve">Current comparison contribution ties</t>
  </si>
  <si>
    <t xml:space="preserve">Assumptions E41 / Unit Economics B11</t>
  </si>
  <si>
    <t xml:space="preserve">Overall model status</t>
  </si>
  <si>
    <t xml:space="preserve">Financial audit completed: historical claims reconciled; trial and paid coaching usage included; Gemini's 2027 price step included; fixed and variable costs separated; paid CAC shown separately; forecast horizon tied to the fixed 12-month layout. PASS confirms formula consistency, not commercial validation.</t>
  </si>
  <si>
    <t xml:space="preserve">Stack comparison 2026 variable cost</t>
  </si>
  <si>
    <t xml:space="preserve">Stack Comparison C24:C26 / Unit Economics</t>
  </si>
  <si>
    <t xml:space="preserve">Stack comparison 2027 variable cost</t>
  </si>
  <si>
    <t xml:space="preserve">Stack Comparison D24:D26 / Unit Economics</t>
  </si>
  <si>
    <t xml:space="preserve">Month 1 trial coaching cost included</t>
  </si>
  <si>
    <t xml:space="preserve">Forecast 12M B21 / 500 active trials</t>
  </si>
  <si>
    <t xml:space="preserve">Forecast horizon matches forecast columns</t>
  </si>
  <si>
    <t xml:space="preserve">Assumptions B7 / Forecast 12M B:M</t>
  </si>
  <si>
    <t xml:space="preserve">Forecast month index is exactly 1..12 in order</t>
  </si>
  <si>
    <t xml:space="preserve">Forecast 12M row 3; catches missing, duplicate or permuted months</t>
  </si>
  <si>
    <t xml:space="preserve">Price Sensitivity current contribution ties</t>
  </si>
  <si>
    <t xml:space="preserve">Price Sensitivity B11</t>
  </si>
  <si>
    <t xml:space="preserve">Price Sensitivity current lean break-even ties</t>
  </si>
  <si>
    <t xml:space="preserve">Price Sensitivity B19</t>
  </si>
  <si>
    <t xml:space="preserve">Price Sensitivity current organic profit row ties</t>
  </si>
  <si>
    <t xml:space="preserve">Price Sensitivity row 81 vs Forecast row 26</t>
  </si>
  <si>
    <t xml:space="preserve">Price Sensitivity current paid-CAC profit row ties</t>
  </si>
  <si>
    <t xml:space="preserve">Price Sensitivity row 83 vs Forecast row 41</t>
  </si>
  <si>
    <t xml:space="preserve">Price Sensitivity steady-state profit ties</t>
  </si>
  <si>
    <t xml:space="preserve">Price Sensitivity B26 vs Forecast M26</t>
  </si>
  <si>
    <t xml:space="preserve">Price Sensitivity paid-CAC cash month ties</t>
  </si>
  <si>
    <t xml:space="preserve">Price Sensitivity B37 vs Forecast row 44 (1 = mismatch)</t>
  </si>
  <si>
    <t xml:space="preserve">All-in fixed OpEx = stack + AI tools</t>
  </si>
  <si>
    <t xml:space="preserve">Assumptions B28 / B51</t>
  </si>
  <si>
    <t xml:space="preserve">Companion added trial thinking cost ties</t>
  </si>
  <si>
    <t xml:space="preserve">trials × calls × thinking tokens × 2027 output price</t>
  </si>
  <si>
    <t xml:space="preserve">Launch plan never exceeds the active-user cap</t>
  </si>
  <si>
    <t xml:space="preserve">Launch Cap Plan rows 17 and 21</t>
  </si>
  <si>
    <t xml:space="preserve">Launch plan assumes a one-month trial</t>
  </si>
  <si>
    <t xml:space="preserve">Slot logic converts last month’s trials</t>
  </si>
  <si>
    <t xml:space="preserve">Launch plan month 1 = −(cap × Gemini) − fixed OpEx</t>
  </si>
  <si>
    <t xml:space="preserve">No paying users in the trial month</t>
  </si>
  <si>
    <t xml:space="preserve">Sources and audit trail</t>
  </si>
  <si>
    <t xml:space="preserve">Rows dated 2026-10-12 were re-checked against the official page or repository on that date; rows still dated 2026-09-05 were not re-checked. Historical assumptions come from archived planning documents and are preserved for comparison, not treated as current facts.</t>
  </si>
  <si>
    <t xml:space="preserve">Input / service</t>
  </si>
  <si>
    <t xml:space="preserve">Value used</t>
  </si>
  <si>
    <t xml:space="preserve">As of</t>
  </si>
  <si>
    <t xml:space="preserve">Source type</t>
  </si>
  <si>
    <t xml:space="preserve">Reference</t>
  </si>
  <si>
    <t xml:space="preserve">Supabase Pro</t>
  </si>
  <si>
    <t xml:space="preserve">USD/month</t>
  </si>
  <si>
    <t xml:space="preserve">2026-10-12</t>
  </si>
  <si>
    <t xml:space="preserve">Official pricing</t>
  </si>
  <si>
    <t xml:space="preserve">Pro from $25/mo; $10 compute credit (one Micro); 100k MAU; 250 GB egress; 2M Edge invocations</t>
  </si>
  <si>
    <t xml:space="preserve">Vercel Pro</t>
  </si>
  <si>
    <t xml:space="preserve">https://vercel.com/docs/plans/pro</t>
  </si>
  <si>
    <t xml:space="preserve">$20 platform fee incl. 1 deploying seat and $20 usage credit; Flat Rate CDN 1M requests / 1 TB</t>
  </si>
  <si>
    <t xml:space="preserve">Stripe Payments</t>
  </si>
  <si>
    <t xml:space="preserve">% + $0.30</t>
  </si>
  <si>
    <t xml:space="preserve">https://stripe.com/pricing</t>
  </si>
  <si>
    <t xml:space="preserve">Domestic cards; +1.5% international, +1% currency conversion</t>
  </si>
  <si>
    <t xml:space="preserve">Stripe Billing</t>
  </si>
  <si>
    <t xml:space="preserve">% of volume</t>
  </si>
  <si>
    <t xml:space="preserve">https://stripe.com/billing/pricing</t>
  </si>
  <si>
    <t xml:space="preserve">Pay-as-you-go 0.7% of Billing volume; no recurring fee</t>
  </si>
  <si>
    <t xml:space="preserve">base USD/month</t>
  </si>
  <si>
    <t xml:space="preserve">Free: 1M analytics events, 5K recordings, 1M flag requests, 100K exceptions; overages not modeled</t>
  </si>
  <si>
    <t xml:space="preserve">Sentry Developer</t>
  </si>
  <si>
    <t xml:space="preserve">Lean base; 5k errors; one user</t>
  </si>
  <si>
    <t xml:space="preserve">Sentry Team</t>
  </si>
  <si>
    <t xml:space="preserve">$312/yr annual billing; monthly-billing price not shown on page</t>
  </si>
  <si>
    <t xml:space="preserve">GitHub Free</t>
  </si>
  <si>
    <t xml:space="preserve">GitHub API</t>
  </si>
  <si>
    <t xml:space="preserve">GitHub</t>
  </si>
  <si>
    <t xml:space="preserve">https://api.github.com/repos/relativityE/speaksharp</t>
  </si>
  <si>
    <t xml:space="preserve">Repository visibility verified public on 2026-10-12</t>
  </si>
  <si>
    <t xml:space="preserve">Historical Resend Pro</t>
  </si>
  <si>
    <t xml:space="preserve">2026-09-05</t>
  </si>
  <si>
    <t xml:space="preserve">Resend</t>
  </si>
  <si>
    <t xml:space="preserve">Historical only; current plan uses Gmail</t>
  </si>
  <si>
    <t xml:space="preserve">Current Gmail</t>
  </si>
  <si>
    <t xml:space="preserve">incremental USD/month</t>
  </si>
  <si>
    <t xml:space="preserve">Management direction</t>
  </si>
  <si>
    <t xml:space="preserve">User decision</t>
  </si>
  <si>
    <t xml:space="preserve">https://mail.google.com/</t>
  </si>
  <si>
    <t xml:space="preserve">Existing Gmail; Workspace Starter optional at $7/user/month annual</t>
  </si>
  <si>
    <t xml:space="preserve">Google Workspace Starter option</t>
  </si>
  <si>
    <t xml:space="preserve">USD/user/month</t>
  </si>
  <si>
    <t xml:space="preserve">Google</t>
  </si>
  <si>
    <t xml:space="preserve">https://workspace.google.com/pricing.html</t>
  </si>
  <si>
    <t xml:space="preserve">Not included in base</t>
  </si>
  <si>
    <t xml:space="preserve">AssemblyAI current comparator</t>
  </si>
  <si>
    <t xml:space="preserve">USD/hour</t>
  </si>
  <si>
    <t xml:space="preserve">Not used by current product; old model used $0.47/hour</t>
  </si>
  <si>
    <t xml:space="preserve">input USD/1M</t>
  </si>
  <si>
    <t xml:space="preserve">Google AI</t>
  </si>
  <si>
    <t xml:space="preserve">Former code model; replaced by gemini-3.8-flash in #1586 (price not re-checked)</t>
  </si>
  <si>
    <t xml:space="preserve">Gemini 3.8 Flash</t>
  </si>
  <si>
    <t xml:space="preserve">input USD/1M through 2026</t>
  </si>
  <si>
    <t xml:space="preserve">Current code model; $3.75 output; $1.50/$7.50 from 2027-01-01; output includes thinking tokens</t>
  </si>
  <si>
    <t xml:space="preserve">Lower-cost benchmark candidate; $2.50 output</t>
  </si>
  <si>
    <t xml:space="preserve">Gemini deprecation mapping</t>
  </si>
  <si>
    <t xml:space="preserve">Official documentation</t>
  </si>
  <si>
    <t xml:space="preserve">https://ai.google.dev/gemini-api/docs/deprecations</t>
  </si>
  <si>
    <t xml:space="preserve">Legacy 3 Flash Preview → 3.6 Flash</t>
  </si>
  <si>
    <t xml:space="preserve">Current price and trial</t>
  </si>
  <si>
    <t xml:space="preserve">USD/month after 30 days</t>
  </si>
  <si>
    <t xml:space="preserve">Current product requirement</t>
  </si>
  <si>
    <t xml:space="preserve">SpeakSharp</t>
  </si>
  <si>
    <t xml:space="preserve">product_release/PRODUCT_REQUIREMENTS.md</t>
  </si>
  <si>
    <t xml:space="preserve">PRODUCT_REQUIREMENTS.md line 115 ($10/month after trial); billing not activated; revenue remains projection</t>
  </si>
  <si>
    <t xml:space="preserve">Current Gemini code model</t>
  </si>
  <si>
    <t xml:space="preserve">model id</t>
  </si>
  <si>
    <t xml:space="preserve">Code</t>
  </si>
  <si>
    <t xml:space="preserve">backend/supabase/functions/get-ai-suggestions/contract.json</t>
  </si>
  <si>
    <t xml:space="preserve">gemini-3.8-flash</t>
  </si>
  <si>
    <t xml:space="preserve">Current private STT candidate</t>
  </si>
  <si>
    <t xml:space="preserve">MB model bundle</t>
  </si>
  <si>
    <t xml:space="preserve">Code / local asset</t>
  </si>
  <si>
    <t xml:space="preserve">frontend/src/config/private-stt.config.json</t>
  </si>
  <si>
    <t xml:space="preserve">v2:base.en; 80,553,222 bytes measured in frontend/public/models/whisper-base.en</t>
  </si>
  <si>
    <t xml:space="preserve">Prior pricing assumptions</t>
  </si>
  <si>
    <t xml:space="preserve">historical model</t>
  </si>
  <si>
    <t xml:space="preserve">2026-02</t>
  </si>
  <si>
    <t xml:space="preserve">Archived planning</t>
  </si>
  <si>
    <t xml:space="preserve">product_release/archive/superseded-docs-2026-08-29/pricing_analysis.md</t>
  </si>
  <si>
    <t xml:space="preserve">$7.99 and $14.99 versions</t>
  </si>
  <si>
    <t xml:space="preserve">Prior CFO forecast</t>
  </si>
  <si>
    <t xml:space="preserve">product_release/archive/legacy-docs/d31102a8/PRD.md</t>
  </si>
  <si>
    <t xml:space="preserve">Conversion, lifetime, CAC and ramp assumptions</t>
  </si>
  <si>
    <t xml:space="preserve">Gemini 3.6 Flash</t>
  </si>
  <si>
    <t xml:space="preserve">Prior planning baseline; identical price schedule to 3.8 Flash</t>
  </si>
  <si>
    <t xml:space="preserve">Gemini 3.8 Flash thinking default</t>
  </si>
  <si>
    <t xml:space="preserve">medium</t>
  </si>
  <si>
    <t xml:space="preserve">thinking_level</t>
  </si>
  <si>
    <t xml:space="preserve">https://ai.google.dev/gemini-api/docs/latest-model</t>
  </si>
  <si>
    <t xml:space="preserve">Code sets no thinking_level, so the default applies</t>
  </si>
  <si>
    <t xml:space="preserve">Coaching daily cap</t>
  </si>
  <si>
    <t xml:space="preserve">uncached calls / user / UTC day</t>
  </si>
  <si>
    <t xml:space="preserve">uncachedGenerationCapPerUtcDay</t>
  </si>
  <si>
    <t xml:space="preserve">Coaching token usage telemetry</t>
  </si>
  <si>
    <t xml:space="preserve">none</t>
  </si>
  <si>
    <t xml:space="preserve">Code search</t>
  </si>
  <si>
    <t xml:space="preserve">backend/, frontend/src, scripts, tests</t>
  </si>
  <si>
    <t xml:space="preserve">No usageMetadata / thoughtsTokenCount capture found; thinking cost unmeasured</t>
  </si>
</sst>
</file>

<file path=xl/styles.xml><?xml version="1.0" encoding="utf-8"?>
<styleSheet xmlns="http://schemas.openxmlformats.org/spreadsheetml/2006/main">
  <numFmts count="32">
    <numFmt numFmtId="164" formatCode="General"/>
    <numFmt numFmtId="165" formatCode="\$#,##0"/>
    <numFmt numFmtId="166" formatCode="\$#,##0.00"/>
    <numFmt numFmtId="167" formatCode="\$0.0000"/>
    <numFmt numFmtId="168" formatCode="0"/>
    <numFmt numFmtId="169" formatCode="\$0.00"/>
    <numFmt numFmtId="170" formatCode="\$0.00;[RED]&quot;($&quot;0.00\);\-"/>
    <numFmt numFmtId="171" formatCode="#,##0&quot; trials / mo&quot;"/>
    <numFmt numFmtId="172" formatCode="0&quot; users&quot;"/>
    <numFmt numFmtId="173" formatCode="#,##0&quot; / call&quot;"/>
    <numFmt numFmtId="174" formatCode="0&quot; / day&quot;"/>
    <numFmt numFmtId="175" formatCode="0.0%"/>
    <numFmt numFmtId="176" formatCode="0&quot; paying users&quot;"/>
    <numFmt numFmtId="177" formatCode="0.0&quot; months&quot;"/>
    <numFmt numFmtId="178" formatCode="&quot;Month &quot;0"/>
    <numFmt numFmtId="179" formatCode="#,##0"/>
    <numFmt numFmtId="180" formatCode="0&quot; months&quot;"/>
    <numFmt numFmtId="181" formatCode="0&quot; / month&quot;"/>
    <numFmt numFmtId="182" formatCode="\$0.00&quot; / 1M out&quot;"/>
    <numFmt numFmtId="183" formatCode="mmm\ yyyy"/>
    <numFmt numFmtId="184" formatCode="General"/>
    <numFmt numFmtId="185" formatCode="yyyy\-mm\-dd"/>
    <numFmt numFmtId="186" formatCode="\$0.000000"/>
    <numFmt numFmtId="187" formatCode="mmm\ yy"/>
    <numFmt numFmtId="188" formatCode="\$#,##0.00;[RED]&quot;($&quot;#,##0.00\);\-"/>
    <numFmt numFmtId="189" formatCode="0.0"/>
    <numFmt numFmtId="190" formatCode="0.00"/>
    <numFmt numFmtId="191" formatCode="0.00%"/>
    <numFmt numFmtId="192" formatCode="0.00\x"/>
    <numFmt numFmtId="193" formatCode="\$0.00000"/>
    <numFmt numFmtId="194" formatCode="0.0000"/>
    <numFmt numFmtId="195" formatCode="[$$-409]#,##0.00;[RED]\-[$$-409]#,##0.00"/>
  </numFmts>
  <fonts count="22">
    <font>
      <sz val="10"/>
      <name val="Arial"/>
      <family val="2"/>
    </font>
    <font>
      <sz val="10"/>
      <name val="Arial"/>
      <family val="0"/>
    </font>
    <font>
      <sz val="10"/>
      <name val="Arial"/>
      <family val="0"/>
    </font>
    <font>
      <sz val="10"/>
      <name val="Arial"/>
      <family val="0"/>
    </font>
    <font>
      <sz val="11"/>
      <name val="Calibri"/>
      <family val="0"/>
      <charset val="1"/>
    </font>
    <font>
      <b val="true"/>
      <sz val="18"/>
      <color rgb="FFFFFFFF"/>
      <name val="Aptos"/>
      <family val="0"/>
      <charset val="1"/>
    </font>
    <font>
      <sz val="11"/>
      <name val="Aptos"/>
      <family val="0"/>
      <charset val="1"/>
    </font>
    <font>
      <sz val="10"/>
      <color rgb="FF344054"/>
      <name val="Aptos"/>
      <family val="0"/>
      <charset val="1"/>
    </font>
    <font>
      <b val="true"/>
      <sz val="10"/>
      <color rgb="FFFFFFFF"/>
      <name val="Aptos"/>
      <family val="0"/>
      <charset val="1"/>
    </font>
    <font>
      <b val="true"/>
      <sz val="11"/>
      <color rgb="FF184E49"/>
      <name val="Aptos"/>
      <family val="0"/>
      <charset val="1"/>
    </font>
    <font>
      <b val="true"/>
      <sz val="18"/>
      <color rgb="FF0D7D74"/>
      <name val="Aptos"/>
      <family val="0"/>
      <charset val="1"/>
    </font>
    <font>
      <b val="true"/>
      <sz val="11"/>
      <color rgb="FFFFFFFF"/>
      <name val="Aptos"/>
      <family val="0"/>
      <charset val="1"/>
    </font>
    <font>
      <b val="true"/>
      <sz val="10"/>
      <color rgb="FF7A4A00"/>
      <name val="Aptos"/>
      <family val="0"/>
      <charset val="1"/>
    </font>
    <font>
      <i val="true"/>
      <sz val="9"/>
      <color rgb="FF667085"/>
      <name val="Aptos"/>
      <family val="0"/>
      <charset val="1"/>
    </font>
    <font>
      <b val="true"/>
      <sz val="18"/>
      <color rgb="FF000000"/>
      <name val="Calibri"/>
      <family val="2"/>
    </font>
    <font>
      <sz val="10"/>
      <color rgb="FF000000"/>
      <name val="Calibri"/>
      <family val="2"/>
    </font>
    <font>
      <b val="true"/>
      <sz val="10"/>
      <color rgb="FF344054"/>
      <name val="Aptos"/>
      <family val="0"/>
      <charset val="1"/>
    </font>
    <font>
      <b val="true"/>
      <sz val="10"/>
      <color rgb="FF184E49"/>
      <name val="Aptos"/>
      <family val="0"/>
      <charset val="1"/>
    </font>
    <font>
      <b val="true"/>
      <sz val="10"/>
      <color rgb="FF15324B"/>
      <name val="Aptos"/>
      <family val="0"/>
      <charset val="1"/>
    </font>
    <font>
      <sz val="9"/>
      <color rgb="FF98A2B3"/>
      <name val="Aptos"/>
      <family val="0"/>
      <charset val="1"/>
    </font>
    <font>
      <b val="true"/>
      <sz val="16"/>
      <color rgb="FF067647"/>
      <name val="Aptos"/>
      <family val="0"/>
      <charset val="1"/>
    </font>
    <font>
      <sz val="10"/>
      <color rgb="FF15324B"/>
      <name val="Aptos"/>
      <family val="0"/>
      <charset val="1"/>
    </font>
  </fonts>
  <fills count="12">
    <fill>
      <patternFill patternType="none"/>
    </fill>
    <fill>
      <patternFill patternType="gray125"/>
    </fill>
    <fill>
      <patternFill patternType="solid">
        <fgColor rgb="FF15324B"/>
        <bgColor rgb="FF344054"/>
      </patternFill>
    </fill>
    <fill>
      <patternFill patternType="solid">
        <fgColor rgb="FFE8EEF4"/>
        <bgColor rgb="FFEAF2FF"/>
      </patternFill>
    </fill>
    <fill>
      <patternFill patternType="solid">
        <fgColor rgb="FF0D7D74"/>
        <bgColor rgb="FF067647"/>
      </patternFill>
    </fill>
    <fill>
      <patternFill patternType="solid">
        <fgColor rgb="FFEAF5F3"/>
        <bgColor rgb="FFE8F5EE"/>
      </patternFill>
    </fill>
    <fill>
      <patternFill patternType="solid">
        <fgColor rgb="FFFFFFFF"/>
        <bgColor rgb="FFF4F6F8"/>
      </patternFill>
    </fill>
    <fill>
      <patternFill patternType="solid">
        <fgColor rgb="FFFFF4DE"/>
        <bgColor rgb="FFFFF2CC"/>
      </patternFill>
    </fill>
    <fill>
      <patternFill patternType="solid">
        <fgColor rgb="FFF4F6F8"/>
        <bgColor rgb="FFEAF5F3"/>
      </patternFill>
    </fill>
    <fill>
      <patternFill patternType="solid">
        <fgColor rgb="FFFFF2CC"/>
        <bgColor rgb="FFFFF4DE"/>
      </patternFill>
    </fill>
    <fill>
      <patternFill patternType="solid">
        <fgColor rgb="FFEAF2FF"/>
        <bgColor rgb="FFEAF5F3"/>
      </patternFill>
    </fill>
    <fill>
      <patternFill patternType="solid">
        <fgColor rgb="FFE8F5EE"/>
        <bgColor rgb="FFEAF5F3"/>
      </patternFill>
    </fill>
  </fills>
  <borders count="7">
    <border diagonalUp="false" diagonalDown="false">
      <left/>
      <right/>
      <top/>
      <bottom/>
      <diagonal/>
    </border>
    <border diagonalUp="false" diagonalDown="false">
      <left style="thin">
        <color rgb="FFC7DAD8"/>
      </left>
      <right style="thin">
        <color rgb="FFC7DAD8"/>
      </right>
      <top style="thin">
        <color rgb="FFC7DAD8"/>
      </top>
      <bottom style="thin">
        <color rgb="FFC7DAD8"/>
      </bottom>
      <diagonal/>
    </border>
    <border diagonalUp="false" diagonalDown="false">
      <left style="thin">
        <color rgb="FFD0D5DD"/>
      </left>
      <right style="thin">
        <color rgb="FFD0D5DD"/>
      </right>
      <top style="thin">
        <color rgb="FFD0D5DD"/>
      </top>
      <bottom style="thin">
        <color rgb="FFD0D5DD"/>
      </bottom>
      <diagonal/>
    </border>
    <border diagonalUp="false" diagonalDown="false">
      <left/>
      <right/>
      <top/>
      <bottom style="thin">
        <color rgb="FFE4E7EC"/>
      </bottom>
      <diagonal/>
    </border>
    <border diagonalUp="false" diagonalDown="false">
      <left/>
      <right/>
      <top style="thin">
        <color rgb="FFE4E7EC"/>
      </top>
      <bottom style="thin">
        <color rgb="FFE4E7EC"/>
      </bottom>
      <diagonal/>
    </border>
    <border diagonalUp="false" diagonalDown="false">
      <left/>
      <right/>
      <top style="thin">
        <color rgb="FFE4E7EC"/>
      </top>
      <bottom style="thin">
        <color rgb="FFD0D5DD"/>
      </bottom>
      <diagonal/>
    </border>
    <border diagonalUp="false" diagonalDown="false">
      <left/>
      <right style="thin">
        <color rgb="FFC7DAD8"/>
      </right>
      <top/>
      <bottom style="thin">
        <color rgb="FFC7DAD8"/>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20" applyFont="true" applyBorder="true" applyAlignment="true" applyProtection="false">
      <alignment horizontal="general" vertical="center" textRotation="0" wrapText="false" indent="0" shrinkToFit="false"/>
      <protection locked="true" hidden="false"/>
    </xf>
    <xf numFmtId="164"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0" applyFont="true" applyBorder="true" applyAlignment="true" applyProtection="false">
      <alignment horizontal="general" vertical="center" textRotation="0" wrapText="true" indent="0" shrinkToFit="false"/>
      <protection locked="true" hidden="false"/>
    </xf>
    <xf numFmtId="164" fontId="8" fillId="4" borderId="1" xfId="20" applyFont="true" applyBorder="true" applyAlignment="true" applyProtection="false">
      <alignment horizontal="general" vertical="center" textRotation="0" wrapText="true" indent="0" shrinkToFit="false"/>
      <protection locked="true" hidden="false"/>
    </xf>
    <xf numFmtId="164" fontId="9" fillId="5" borderId="0" xfId="20" applyFont="true" applyBorder="true" applyAlignment="true" applyProtection="false">
      <alignment horizontal="general" vertical="bottom" textRotation="0" wrapText="true" indent="0" shrinkToFit="false"/>
      <protection locked="true" hidden="false"/>
    </xf>
    <xf numFmtId="165" fontId="6" fillId="0" borderId="0" xfId="2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false" applyProtection="false">
      <alignment horizontal="general" vertical="bottom" textRotation="0" wrapText="false" indent="0" shrinkToFit="false"/>
      <protection locked="true" hidden="false"/>
    </xf>
    <xf numFmtId="166" fontId="10" fillId="6" borderId="2" xfId="20" applyFont="true" applyBorder="true" applyAlignment="true" applyProtection="false">
      <alignment horizontal="general" vertical="center" textRotation="0" wrapText="false" indent="0" shrinkToFit="false"/>
      <protection locked="true" hidden="false"/>
    </xf>
    <xf numFmtId="167" fontId="10" fillId="6" borderId="2" xfId="20" applyFont="true" applyBorder="true" applyAlignment="true" applyProtection="false">
      <alignment horizontal="general" vertical="center" textRotation="0" wrapText="false" indent="0" shrinkToFit="false"/>
      <protection locked="true" hidden="false"/>
    </xf>
    <xf numFmtId="168" fontId="10" fillId="6" borderId="2" xfId="20" applyFont="true" applyBorder="true" applyAlignment="true" applyProtection="false">
      <alignment horizontal="general" vertical="center" textRotation="0" wrapText="false" indent="0" shrinkToFit="false"/>
      <protection locked="true" hidden="false"/>
    </xf>
    <xf numFmtId="169" fontId="10" fillId="6" borderId="2" xfId="20" applyFont="true" applyBorder="true" applyAlignment="true" applyProtection="false">
      <alignment horizontal="general" vertical="center" textRotation="0" wrapText="false" indent="0" shrinkToFit="false"/>
      <protection locked="true" hidden="false"/>
    </xf>
    <xf numFmtId="164" fontId="11" fillId="2" borderId="0" xfId="20" applyFont="true" applyBorder="true" applyAlignment="true" applyProtection="false">
      <alignment horizontal="general" vertical="center" textRotation="0" wrapText="false" indent="0" shrinkToFit="false"/>
      <protection locked="true" hidden="false"/>
    </xf>
    <xf numFmtId="164" fontId="7" fillId="0" borderId="3" xfId="20" applyFont="true" applyBorder="true" applyAlignment="true" applyProtection="false">
      <alignment horizontal="general" vertical="top" textRotation="0" wrapText="false" indent="0" shrinkToFit="false"/>
      <protection locked="true" hidden="false"/>
    </xf>
    <xf numFmtId="170" fontId="7" fillId="0" borderId="3" xfId="20" applyFont="true" applyBorder="true" applyAlignment="true" applyProtection="false">
      <alignment horizontal="general" vertical="top" textRotation="0" wrapText="false" indent="0" shrinkToFit="false"/>
      <protection locked="true" hidden="false"/>
    </xf>
    <xf numFmtId="164" fontId="7" fillId="0" borderId="4" xfId="20" applyFont="true" applyBorder="true" applyAlignment="true" applyProtection="false">
      <alignment horizontal="general" vertical="top" textRotation="0" wrapText="false" indent="0" shrinkToFit="false"/>
      <protection locked="true" hidden="false"/>
    </xf>
    <xf numFmtId="170" fontId="7" fillId="0" borderId="4" xfId="20" applyFont="true" applyBorder="true" applyAlignment="true" applyProtection="false">
      <alignment horizontal="general" vertical="top" textRotation="0" wrapText="false" indent="0" shrinkToFit="false"/>
      <protection locked="true" hidden="false"/>
    </xf>
    <xf numFmtId="164" fontId="7" fillId="0" borderId="5" xfId="20" applyFont="true" applyBorder="true" applyAlignment="true" applyProtection="false">
      <alignment horizontal="general" vertical="top" textRotation="0" wrapText="false" indent="0" shrinkToFit="false"/>
      <protection locked="true" hidden="false"/>
    </xf>
    <xf numFmtId="168" fontId="7" fillId="0" borderId="5" xfId="20" applyFont="true" applyBorder="true" applyAlignment="true" applyProtection="false">
      <alignment horizontal="general" vertical="top" textRotation="0" wrapText="false" indent="0" shrinkToFit="false"/>
      <protection locked="true" hidden="false"/>
    </xf>
    <xf numFmtId="164" fontId="12" fillId="7" borderId="0" xfId="20" applyFont="true" applyBorder="true" applyAlignment="true" applyProtection="false">
      <alignment horizontal="general" vertical="bottom" textRotation="0" wrapText="true" indent="0" shrinkToFit="false"/>
      <protection locked="true" hidden="false"/>
    </xf>
    <xf numFmtId="164" fontId="13" fillId="8" borderId="0" xfId="20" applyFont="true" applyBorder="true" applyAlignment="true" applyProtection="false">
      <alignment horizontal="general" vertical="bottom" textRotation="0" wrapText="true" indent="0" shrinkToFit="false"/>
      <protection locked="true" hidden="false"/>
    </xf>
    <xf numFmtId="164" fontId="7" fillId="3" borderId="0" xfId="20" applyFont="true" applyBorder="true" applyAlignment="true" applyProtection="false">
      <alignment horizontal="general" vertical="top" textRotation="0" wrapText="true" indent="0" shrinkToFit="false"/>
      <protection locked="true" hidden="false"/>
    </xf>
    <xf numFmtId="164" fontId="11" fillId="2" borderId="0" xfId="20" applyFont="true" applyBorder="false" applyAlignment="true" applyProtection="false">
      <alignment horizontal="general" vertical="center" textRotation="0" wrapText="false" indent="0" shrinkToFit="false"/>
      <protection locked="true" hidden="false"/>
    </xf>
    <xf numFmtId="164" fontId="16" fillId="0" borderId="3" xfId="20" applyFont="true" applyBorder="true" applyAlignment="true" applyProtection="false">
      <alignment horizontal="general" vertical="top" textRotation="0" wrapText="true" indent="0" shrinkToFit="false"/>
      <protection locked="true" hidden="false"/>
    </xf>
    <xf numFmtId="164" fontId="7" fillId="0" borderId="3" xfId="20" applyFont="true" applyBorder="true" applyAlignment="true" applyProtection="false">
      <alignment horizontal="general" vertical="top" textRotation="0" wrapText="true" indent="0" shrinkToFit="false"/>
      <protection locked="true" hidden="false"/>
    </xf>
    <xf numFmtId="166" fontId="7" fillId="5" borderId="4" xfId="20" applyFont="true" applyBorder="true" applyAlignment="true" applyProtection="false">
      <alignment horizontal="right" vertical="top" textRotation="0" wrapText="false" indent="0" shrinkToFit="false"/>
      <protection locked="true" hidden="false"/>
    </xf>
    <xf numFmtId="164" fontId="7" fillId="0" borderId="3" xfId="20" applyFont="true" applyBorder="true" applyAlignment="true" applyProtection="false">
      <alignment horizontal="general" vertical="top" textRotation="0" wrapText="true" indent="1" shrinkToFit="false"/>
      <protection locked="true" hidden="false"/>
    </xf>
    <xf numFmtId="171" fontId="7" fillId="5" borderId="4" xfId="20" applyFont="true" applyBorder="true" applyAlignment="true" applyProtection="false">
      <alignment horizontal="right" vertical="top" textRotation="0" wrapText="false" indent="0" shrinkToFit="false"/>
      <protection locked="true" hidden="false"/>
    </xf>
    <xf numFmtId="172" fontId="7" fillId="5" borderId="4" xfId="20" applyFont="true" applyBorder="true" applyAlignment="true" applyProtection="false">
      <alignment horizontal="right" vertical="top" textRotation="0" wrapText="false" indent="0" shrinkToFit="false"/>
      <protection locked="true" hidden="false"/>
    </xf>
    <xf numFmtId="167" fontId="7" fillId="5" borderId="4" xfId="20" applyFont="true" applyBorder="true" applyAlignment="true" applyProtection="false">
      <alignment horizontal="right" vertical="top" textRotation="0" wrapText="false" indent="0" shrinkToFit="false"/>
      <protection locked="true" hidden="false"/>
    </xf>
    <xf numFmtId="173" fontId="7" fillId="5" borderId="4" xfId="20" applyFont="true" applyBorder="true" applyAlignment="true" applyProtection="false">
      <alignment horizontal="right" vertical="top" textRotation="0" wrapText="false" indent="0" shrinkToFit="false"/>
      <protection locked="true" hidden="false"/>
    </xf>
    <xf numFmtId="174" fontId="7" fillId="5" borderId="4" xfId="20" applyFont="true" applyBorder="true" applyAlignment="true" applyProtection="false">
      <alignment horizontal="right" vertical="top" textRotation="0" wrapText="false" indent="0" shrinkToFit="false"/>
      <protection locked="true" hidden="false"/>
    </xf>
    <xf numFmtId="175" fontId="7" fillId="5" borderId="4" xfId="20" applyFont="true" applyBorder="true" applyAlignment="true" applyProtection="false">
      <alignment horizontal="right" vertical="top" textRotation="0" wrapText="false" indent="0" shrinkToFit="false"/>
      <protection locked="true" hidden="false"/>
    </xf>
    <xf numFmtId="176" fontId="7" fillId="5" borderId="4" xfId="20" applyFont="true" applyBorder="true" applyAlignment="true" applyProtection="false">
      <alignment horizontal="right" vertical="top" textRotation="0" wrapText="false" indent="0" shrinkToFit="false"/>
      <protection locked="true" hidden="false"/>
    </xf>
    <xf numFmtId="177" fontId="7" fillId="5" borderId="4" xfId="20" applyFont="true" applyBorder="true" applyAlignment="true" applyProtection="false">
      <alignment horizontal="right" vertical="top" textRotation="0" wrapText="false" indent="0" shrinkToFit="false"/>
      <protection locked="true" hidden="false"/>
    </xf>
    <xf numFmtId="178" fontId="7" fillId="5" borderId="4" xfId="20" applyFont="true" applyBorder="true" applyAlignment="true" applyProtection="false">
      <alignment horizontal="right" vertical="top" textRotation="0" wrapText="false" indent="0" shrinkToFit="false"/>
      <protection locked="true" hidden="false"/>
    </xf>
    <xf numFmtId="179" fontId="7" fillId="5" borderId="4" xfId="20" applyFont="true" applyBorder="true" applyAlignment="true" applyProtection="false">
      <alignment horizontal="right" vertical="top" textRotation="0" wrapText="false" indent="0" shrinkToFit="false"/>
      <protection locked="true" hidden="false"/>
    </xf>
    <xf numFmtId="180" fontId="7" fillId="5" borderId="4" xfId="20" applyFont="true" applyBorder="true" applyAlignment="true" applyProtection="false">
      <alignment horizontal="right" vertical="top" textRotation="0" wrapText="false" indent="0" shrinkToFit="false"/>
      <protection locked="true" hidden="false"/>
    </xf>
    <xf numFmtId="181" fontId="7" fillId="5" borderId="4" xfId="20" applyFont="true" applyBorder="true" applyAlignment="true" applyProtection="false">
      <alignment horizontal="right" vertical="top" textRotation="0" wrapText="false" indent="0" shrinkToFit="false"/>
      <protection locked="true" hidden="false"/>
    </xf>
    <xf numFmtId="182" fontId="7" fillId="5" borderId="4" xfId="20" applyFont="true" applyBorder="true" applyAlignment="true" applyProtection="false">
      <alignment horizontal="right" vertical="top" textRotation="0" wrapText="false" indent="0" shrinkToFit="false"/>
      <protection locked="true" hidden="false"/>
    </xf>
    <xf numFmtId="183" fontId="7" fillId="9" borderId="3" xfId="20" applyFont="true" applyBorder="true" applyAlignment="true" applyProtection="false">
      <alignment horizontal="general" vertical="top" textRotation="0" wrapText="false" indent="0" shrinkToFit="false"/>
      <protection locked="true" hidden="false"/>
    </xf>
    <xf numFmtId="184" fontId="7" fillId="10" borderId="4" xfId="20" applyFont="true" applyBorder="true" applyAlignment="true" applyProtection="false">
      <alignment horizontal="general" vertical="top" textRotation="0" wrapText="false" indent="0" shrinkToFit="false"/>
      <protection locked="true" hidden="false"/>
    </xf>
    <xf numFmtId="175" fontId="7" fillId="9" borderId="4" xfId="20" applyFont="true" applyBorder="true" applyAlignment="true" applyProtection="false">
      <alignment horizontal="general" vertical="top" textRotation="0" wrapText="false" indent="0" shrinkToFit="false"/>
      <protection locked="true" hidden="false"/>
    </xf>
    <xf numFmtId="164" fontId="7" fillId="9" borderId="4" xfId="20" applyFont="true" applyBorder="true" applyAlignment="true" applyProtection="false">
      <alignment horizontal="general" vertical="top" textRotation="0" wrapText="false" indent="0" shrinkToFit="false"/>
      <protection locked="true" hidden="false"/>
    </xf>
    <xf numFmtId="166" fontId="7" fillId="9" borderId="4" xfId="20" applyFont="true" applyBorder="true" applyAlignment="true" applyProtection="false">
      <alignment horizontal="general" vertical="top" textRotation="0" wrapText="false" indent="0" shrinkToFit="false"/>
      <protection locked="true" hidden="false"/>
    </xf>
    <xf numFmtId="185" fontId="7" fillId="9" borderId="4" xfId="20" applyFont="true" applyBorder="true" applyAlignment="true" applyProtection="false">
      <alignment horizontal="general" vertical="top" textRotation="0" wrapText="false" indent="0" shrinkToFit="false"/>
      <protection locked="true" hidden="false"/>
    </xf>
    <xf numFmtId="166" fontId="7" fillId="10" borderId="4" xfId="20" applyFont="true" applyBorder="true" applyAlignment="true" applyProtection="false">
      <alignment horizontal="general" vertical="top" textRotation="0" wrapText="false" indent="0" shrinkToFit="false"/>
      <protection locked="true" hidden="false"/>
    </xf>
    <xf numFmtId="166" fontId="7" fillId="9" borderId="5" xfId="20" applyFont="true" applyBorder="true" applyAlignment="true" applyProtection="false">
      <alignment horizontal="general" vertical="top" textRotation="0" wrapText="false" indent="0" shrinkToFit="false"/>
      <protection locked="true" hidden="false"/>
    </xf>
    <xf numFmtId="179" fontId="7" fillId="9" borderId="4" xfId="20" applyFont="true" applyBorder="true" applyAlignment="true" applyProtection="false">
      <alignment horizontal="general" vertical="top" textRotation="0" wrapText="false" indent="0" shrinkToFit="false"/>
      <protection locked="true" hidden="false"/>
    </xf>
    <xf numFmtId="166" fontId="7" fillId="0" borderId="3" xfId="20" applyFont="true" applyBorder="true" applyAlignment="true" applyProtection="false">
      <alignment horizontal="general" vertical="top" textRotation="0" wrapText="false" indent="0" shrinkToFit="false"/>
      <protection locked="true" hidden="false"/>
    </xf>
    <xf numFmtId="175" fontId="7" fillId="0" borderId="4" xfId="20" applyFont="true" applyBorder="true" applyAlignment="true" applyProtection="false">
      <alignment horizontal="general" vertical="top" textRotation="0" wrapText="false" indent="0" shrinkToFit="false"/>
      <protection locked="true" hidden="false"/>
    </xf>
    <xf numFmtId="166" fontId="7" fillId="0" borderId="4" xfId="20" applyFont="true" applyBorder="true" applyAlignment="true" applyProtection="false">
      <alignment horizontal="general" vertical="top" textRotation="0" wrapText="false" indent="0" shrinkToFit="false"/>
      <protection locked="true" hidden="false"/>
    </xf>
    <xf numFmtId="166" fontId="7" fillId="0" borderId="5" xfId="20" applyFont="true" applyBorder="true" applyAlignment="true" applyProtection="false">
      <alignment horizontal="general" vertical="top" textRotation="0" wrapText="false" indent="0" shrinkToFit="false"/>
      <protection locked="true" hidden="false"/>
    </xf>
    <xf numFmtId="168" fontId="7" fillId="9" borderId="4" xfId="20" applyFont="true" applyBorder="true" applyAlignment="true" applyProtection="false">
      <alignment horizontal="general" vertical="top" textRotation="0" wrapText="false" indent="0" shrinkToFit="false"/>
      <protection locked="true" hidden="false"/>
    </xf>
    <xf numFmtId="164" fontId="17" fillId="5" borderId="0" xfId="20" applyFont="true" applyBorder="true" applyAlignment="true" applyProtection="false">
      <alignment horizontal="general" vertical="bottom" textRotation="0" wrapText="true" indent="0" shrinkToFit="false"/>
      <protection locked="true" hidden="false"/>
    </xf>
    <xf numFmtId="164" fontId="11" fillId="2" borderId="0" xfId="20" applyFont="true" applyBorder="false" applyAlignment="false" applyProtection="false">
      <alignment horizontal="general" vertical="bottom" textRotation="0" wrapText="false" indent="0" shrinkToFit="false"/>
      <protection locked="true" hidden="false"/>
    </xf>
    <xf numFmtId="166" fontId="11" fillId="2" borderId="0" xfId="20" applyFont="true" applyBorder="false" applyAlignment="false" applyProtection="false">
      <alignment horizontal="general" vertical="bottom" textRotation="0" wrapText="false" indent="0" shrinkToFit="false"/>
      <protection locked="true" hidden="false"/>
    </xf>
    <xf numFmtId="164" fontId="18" fillId="8" borderId="5" xfId="20" applyFont="true" applyBorder="true" applyAlignment="true" applyProtection="false">
      <alignment horizontal="general" vertical="top" textRotation="0" wrapText="false" indent="0" shrinkToFit="false"/>
      <protection locked="true" hidden="false"/>
    </xf>
    <xf numFmtId="166" fontId="18" fillId="8" borderId="5" xfId="20" applyFont="true" applyBorder="true" applyAlignment="true" applyProtection="false">
      <alignment horizontal="general" vertical="top" textRotation="0" wrapText="false" indent="0" shrinkToFit="false"/>
      <protection locked="true" hidden="false"/>
    </xf>
    <xf numFmtId="186" fontId="7" fillId="0" borderId="3" xfId="20" applyFont="true" applyBorder="true" applyAlignment="true" applyProtection="false">
      <alignment horizontal="general" vertical="top" textRotation="0" wrapText="false" indent="0" shrinkToFit="false"/>
      <protection locked="true" hidden="false"/>
    </xf>
    <xf numFmtId="164" fontId="7" fillId="5" borderId="4" xfId="20" applyFont="true" applyBorder="true" applyAlignment="true" applyProtection="false">
      <alignment horizontal="general" vertical="top" textRotation="0" wrapText="false" indent="0" shrinkToFit="false"/>
      <protection locked="true" hidden="false"/>
    </xf>
    <xf numFmtId="186" fontId="7" fillId="5" borderId="4" xfId="20" applyFont="true" applyBorder="true" applyAlignment="true" applyProtection="false">
      <alignment horizontal="general" vertical="top" textRotation="0" wrapText="false" indent="0" shrinkToFit="false"/>
      <protection locked="true" hidden="false"/>
    </xf>
    <xf numFmtId="164" fontId="7" fillId="10" borderId="5" xfId="20" applyFont="true" applyBorder="true" applyAlignment="true" applyProtection="false">
      <alignment horizontal="general" vertical="top" textRotation="0" wrapText="false" indent="0" shrinkToFit="false"/>
      <protection locked="true" hidden="false"/>
    </xf>
    <xf numFmtId="186" fontId="7" fillId="10" borderId="5" xfId="20" applyFont="true" applyBorder="true" applyAlignment="true" applyProtection="false">
      <alignment horizontal="general" vertical="top" textRotation="0" wrapText="false" indent="0" shrinkToFit="false"/>
      <protection locked="true" hidden="false"/>
    </xf>
    <xf numFmtId="167" fontId="7" fillId="0" borderId="3" xfId="20" applyFont="true" applyBorder="true" applyAlignment="true" applyProtection="false">
      <alignment horizontal="general" vertical="top" textRotation="0" wrapText="false" indent="0" shrinkToFit="false"/>
      <protection locked="true" hidden="false"/>
    </xf>
    <xf numFmtId="167" fontId="7" fillId="0" borderId="4" xfId="20" applyFont="true" applyBorder="true" applyAlignment="true" applyProtection="false">
      <alignment horizontal="general" vertical="top" textRotation="0" wrapText="false" indent="0" shrinkToFit="false"/>
      <protection locked="true" hidden="false"/>
    </xf>
    <xf numFmtId="167" fontId="7" fillId="0" borderId="5" xfId="20" applyFont="true" applyBorder="true" applyAlignment="true" applyProtection="false">
      <alignment horizontal="general" vertical="top" textRotation="0" wrapText="false" indent="0" shrinkToFit="false"/>
      <protection locked="true" hidden="false"/>
    </xf>
    <xf numFmtId="169" fontId="7" fillId="0" borderId="3" xfId="20" applyFont="true" applyBorder="true" applyAlignment="true" applyProtection="false">
      <alignment horizontal="general" vertical="top" textRotation="0" wrapText="false" indent="0" shrinkToFit="false"/>
      <protection locked="true" hidden="false"/>
    </xf>
    <xf numFmtId="169" fontId="7" fillId="0" borderId="4" xfId="20" applyFont="true" applyBorder="true" applyAlignment="true" applyProtection="false">
      <alignment horizontal="general" vertical="top" textRotation="0" wrapText="false" indent="0" shrinkToFit="false"/>
      <protection locked="true" hidden="false"/>
    </xf>
    <xf numFmtId="164" fontId="7" fillId="7" borderId="4" xfId="20" applyFont="true" applyBorder="true" applyAlignment="true" applyProtection="false">
      <alignment horizontal="general" vertical="top" textRotation="0" wrapText="false" indent="0" shrinkToFit="false"/>
      <protection locked="true" hidden="false"/>
    </xf>
    <xf numFmtId="169" fontId="7" fillId="7" borderId="4" xfId="20" applyFont="true" applyBorder="true" applyAlignment="true" applyProtection="false">
      <alignment horizontal="general" vertical="top" textRotation="0" wrapText="false" indent="0" shrinkToFit="false"/>
      <protection locked="true" hidden="false"/>
    </xf>
    <xf numFmtId="168" fontId="7" fillId="0" borderId="4" xfId="20" applyFont="true" applyBorder="true" applyAlignment="true" applyProtection="false">
      <alignment horizontal="general" vertical="top" textRotation="0" wrapText="false" indent="0" shrinkToFit="false"/>
      <protection locked="true" hidden="false"/>
    </xf>
    <xf numFmtId="164" fontId="7" fillId="5" borderId="5" xfId="20" applyFont="true" applyBorder="true" applyAlignment="true" applyProtection="false">
      <alignment horizontal="general" vertical="top" textRotation="0" wrapText="false" indent="0" shrinkToFit="false"/>
      <protection locked="true" hidden="false"/>
    </xf>
    <xf numFmtId="168" fontId="7" fillId="5" borderId="5" xfId="20" applyFont="true" applyBorder="true" applyAlignment="true" applyProtection="false">
      <alignment horizontal="general" vertical="top" textRotation="0" wrapText="false" indent="0" shrinkToFit="false"/>
      <protection locked="true" hidden="false"/>
    </xf>
    <xf numFmtId="164" fontId="18" fillId="10" borderId="0" xfId="20" applyFont="true" applyBorder="true" applyAlignment="true" applyProtection="false">
      <alignment horizontal="general" vertical="bottom" textRotation="0" wrapText="true" indent="0" shrinkToFit="false"/>
      <protection locked="true" hidden="false"/>
    </xf>
    <xf numFmtId="164" fontId="7" fillId="3" borderId="6" xfId="20" applyFont="true" applyBorder="true" applyAlignment="true" applyProtection="false">
      <alignment horizontal="general" vertical="top" textRotation="0" wrapText="true" indent="0" shrinkToFit="false"/>
      <protection locked="true" hidden="false"/>
    </xf>
    <xf numFmtId="168" fontId="8" fillId="4" borderId="1" xfId="20" applyFont="true" applyBorder="true" applyAlignment="true" applyProtection="false">
      <alignment horizontal="center" vertical="bottom" textRotation="0" wrapText="false" indent="0" shrinkToFit="false"/>
      <protection locked="true" hidden="false"/>
    </xf>
    <xf numFmtId="187" fontId="8" fillId="4" borderId="1" xfId="20" applyFont="true" applyBorder="true" applyAlignment="true" applyProtection="false">
      <alignment horizontal="general" vertical="center" textRotation="0" wrapText="true" indent="0" shrinkToFit="false"/>
      <protection locked="true" hidden="false"/>
    </xf>
    <xf numFmtId="179" fontId="7" fillId="0" borderId="3" xfId="20" applyFont="true" applyBorder="true" applyAlignment="true" applyProtection="false">
      <alignment horizontal="general" vertical="top" textRotation="0" wrapText="false" indent="0" shrinkToFit="false"/>
      <protection locked="true" hidden="false"/>
    </xf>
    <xf numFmtId="188" fontId="7" fillId="0" borderId="4" xfId="20" applyFont="true" applyBorder="true" applyAlignment="true" applyProtection="false">
      <alignment horizontal="general" vertical="top" textRotation="0" wrapText="false" indent="0" shrinkToFit="false"/>
      <protection locked="true" hidden="false"/>
    </xf>
    <xf numFmtId="188" fontId="7" fillId="0" borderId="5" xfId="20" applyFont="true" applyBorder="true" applyAlignment="true" applyProtection="false">
      <alignment horizontal="general" vertical="top" textRotation="0" wrapText="false" indent="0" shrinkToFit="false"/>
      <protection locked="true" hidden="false"/>
    </xf>
    <xf numFmtId="179" fontId="7" fillId="0" borderId="4" xfId="20" applyFont="true" applyBorder="true" applyAlignment="true" applyProtection="false">
      <alignment horizontal="general" vertical="top" textRotation="0" wrapText="false" indent="0" shrinkToFit="false"/>
      <protection locked="true" hidden="false"/>
    </xf>
    <xf numFmtId="188" fontId="7" fillId="5" borderId="4" xfId="20" applyFont="true" applyBorder="true" applyAlignment="true" applyProtection="false">
      <alignment horizontal="general" vertical="top" textRotation="0" wrapText="false" indent="0" shrinkToFit="false"/>
      <protection locked="true" hidden="false"/>
    </xf>
    <xf numFmtId="188" fontId="7" fillId="7" borderId="4" xfId="20" applyFont="true" applyBorder="true" applyAlignment="true" applyProtection="false">
      <alignment horizontal="general" vertical="top" textRotation="0" wrapText="false" indent="0" shrinkToFit="false"/>
      <protection locked="true" hidden="false"/>
    </xf>
    <xf numFmtId="175" fontId="7" fillId="10" borderId="4" xfId="20" applyFont="true" applyBorder="true" applyAlignment="true" applyProtection="false">
      <alignment horizontal="general" vertical="top" textRotation="0" wrapText="false" indent="0" shrinkToFit="false"/>
      <protection locked="true" hidden="false"/>
    </xf>
    <xf numFmtId="168" fontId="7" fillId="10" borderId="4" xfId="20" applyFont="true" applyBorder="true" applyAlignment="true" applyProtection="false">
      <alignment horizontal="general" vertical="top" textRotation="0" wrapText="false" indent="0" shrinkToFit="false"/>
      <protection locked="true" hidden="false"/>
    </xf>
    <xf numFmtId="168" fontId="8" fillId="4" borderId="1" xfId="20" applyFont="true" applyBorder="true" applyAlignment="true" applyProtection="false">
      <alignment horizontal="general" vertical="center" textRotation="0" wrapText="true" indent="0" shrinkToFit="false"/>
      <protection locked="true" hidden="false"/>
    </xf>
    <xf numFmtId="189" fontId="7" fillId="10" borderId="4" xfId="20" applyFont="true" applyBorder="true" applyAlignment="true" applyProtection="false">
      <alignment horizontal="general" vertical="top" textRotation="0" wrapText="false" indent="0" shrinkToFit="false"/>
      <protection locked="true" hidden="false"/>
    </xf>
    <xf numFmtId="190" fontId="7" fillId="10" borderId="4" xfId="20" applyFont="true" applyBorder="true" applyAlignment="true" applyProtection="false">
      <alignment horizontal="general" vertical="top" textRotation="0" wrapText="false" indent="0" shrinkToFit="false"/>
      <protection locked="true" hidden="false"/>
    </xf>
    <xf numFmtId="189" fontId="7" fillId="5" borderId="4" xfId="20" applyFont="true" applyBorder="true" applyAlignment="true" applyProtection="false">
      <alignment horizontal="general" vertical="top" textRotation="0" wrapText="false" indent="0" shrinkToFit="false"/>
      <protection locked="true" hidden="false"/>
    </xf>
    <xf numFmtId="167" fontId="7" fillId="10" borderId="4" xfId="20" applyFont="true" applyBorder="true" applyAlignment="true" applyProtection="false">
      <alignment horizontal="general" vertical="top" textRotation="0" wrapText="false" indent="0" shrinkToFit="false"/>
      <protection locked="true" hidden="false"/>
    </xf>
    <xf numFmtId="188" fontId="7" fillId="10" borderId="4" xfId="20" applyFont="true" applyBorder="true" applyAlignment="true" applyProtection="false">
      <alignment horizontal="general" vertical="top" textRotation="0" wrapText="false" indent="0" shrinkToFit="false"/>
      <protection locked="true" hidden="false"/>
    </xf>
    <xf numFmtId="164" fontId="19" fillId="0" borderId="3" xfId="20" applyFont="true" applyBorder="true" applyAlignment="true" applyProtection="false">
      <alignment horizontal="general" vertical="top" textRotation="0" wrapText="false" indent="0" shrinkToFit="false"/>
      <protection locked="true" hidden="false"/>
    </xf>
    <xf numFmtId="168" fontId="19" fillId="0" borderId="3" xfId="20" applyFont="true" applyBorder="true" applyAlignment="true" applyProtection="false">
      <alignment horizontal="general" vertical="top" textRotation="0" wrapText="false" indent="0" shrinkToFit="false"/>
      <protection locked="true" hidden="false"/>
    </xf>
    <xf numFmtId="178" fontId="7" fillId="5" borderId="4" xfId="20" applyFont="true" applyBorder="true" applyAlignment="true" applyProtection="false">
      <alignment horizontal="general" vertical="top" textRotation="0" wrapText="false" indent="0" shrinkToFit="false"/>
      <protection locked="true" hidden="false"/>
    </xf>
    <xf numFmtId="175" fontId="7" fillId="5" borderId="4" xfId="20" applyFont="true" applyBorder="true" applyAlignment="true" applyProtection="false">
      <alignment horizontal="general" vertical="top" textRotation="0" wrapText="false" indent="0" shrinkToFit="false"/>
      <protection locked="true" hidden="false"/>
    </xf>
    <xf numFmtId="191" fontId="7" fillId="5" borderId="4" xfId="20" applyFont="true" applyBorder="true" applyAlignment="true" applyProtection="false">
      <alignment horizontal="general" vertical="top" textRotation="0" wrapText="false" indent="0" shrinkToFit="false"/>
      <protection locked="true" hidden="false"/>
    </xf>
    <xf numFmtId="167" fontId="7" fillId="5" borderId="4" xfId="20" applyFont="true" applyBorder="true" applyAlignment="true" applyProtection="false">
      <alignment horizontal="general" vertical="top" textRotation="0" wrapText="false" indent="0" shrinkToFit="false"/>
      <protection locked="true" hidden="false"/>
    </xf>
    <xf numFmtId="168" fontId="7" fillId="5" borderId="4" xfId="20" applyFont="true" applyBorder="true" applyAlignment="true" applyProtection="false">
      <alignment horizontal="general" vertical="top" textRotation="0" wrapText="false" indent="0" shrinkToFit="false"/>
      <protection locked="true" hidden="false"/>
    </xf>
    <xf numFmtId="169" fontId="7" fillId="5" borderId="4" xfId="20" applyFont="true" applyBorder="true" applyAlignment="true" applyProtection="false">
      <alignment horizontal="general" vertical="top" textRotation="0" wrapText="false" indent="0" shrinkToFit="false"/>
      <protection locked="true" hidden="false"/>
    </xf>
    <xf numFmtId="189" fontId="7" fillId="5" borderId="5" xfId="20" applyFont="true" applyBorder="true" applyAlignment="true" applyProtection="false">
      <alignment horizontal="general" vertical="top" textRotation="0" wrapText="false" indent="0" shrinkToFit="false"/>
      <protection locked="true" hidden="false"/>
    </xf>
    <xf numFmtId="169" fontId="7" fillId="0" borderId="5" xfId="20" applyFont="true" applyBorder="true" applyAlignment="true" applyProtection="false">
      <alignment horizontal="general" vertical="top" textRotation="0" wrapText="false" indent="0" shrinkToFit="false"/>
      <protection locked="true" hidden="false"/>
    </xf>
    <xf numFmtId="166" fontId="7" fillId="5" borderId="4" xfId="20" applyFont="true" applyBorder="true" applyAlignment="true" applyProtection="false">
      <alignment horizontal="general" vertical="top" textRotation="0" wrapText="false" indent="0" shrinkToFit="false"/>
      <protection locked="true" hidden="false"/>
    </xf>
    <xf numFmtId="164" fontId="16" fillId="0" borderId="3" xfId="20" applyFont="true" applyBorder="true" applyAlignment="true" applyProtection="false">
      <alignment horizontal="general" vertical="top" textRotation="0" wrapText="false" indent="0" shrinkToFit="false"/>
      <protection locked="true" hidden="false"/>
    </xf>
    <xf numFmtId="168" fontId="16" fillId="5" borderId="4" xfId="20" applyFont="true" applyBorder="true" applyAlignment="true" applyProtection="false">
      <alignment horizontal="general" vertical="top" textRotation="0" wrapText="false" indent="0" shrinkToFit="false"/>
      <protection locked="true" hidden="false"/>
    </xf>
    <xf numFmtId="192" fontId="7" fillId="10" borderId="4" xfId="20" applyFont="true" applyBorder="true" applyAlignment="true" applyProtection="false">
      <alignment horizontal="general" vertical="top" textRotation="0" wrapText="false" indent="0" shrinkToFit="false"/>
      <protection locked="true" hidden="false"/>
    </xf>
    <xf numFmtId="193" fontId="7" fillId="10" borderId="4" xfId="20" applyFont="true" applyBorder="true" applyAlignment="true" applyProtection="false">
      <alignment horizontal="general" vertical="top" textRotation="0" wrapText="false" indent="0" shrinkToFit="false"/>
      <protection locked="true" hidden="false"/>
    </xf>
    <xf numFmtId="179" fontId="7" fillId="5" borderId="4" xfId="20" applyFont="true" applyBorder="true" applyAlignment="true" applyProtection="false">
      <alignment horizontal="general" vertical="top" textRotation="0" wrapText="false" indent="0" shrinkToFit="false"/>
      <protection locked="true" hidden="false"/>
    </xf>
    <xf numFmtId="165" fontId="7" fillId="10" borderId="4" xfId="20" applyFont="true" applyBorder="true" applyAlignment="true" applyProtection="false">
      <alignment horizontal="general" vertical="top" textRotation="0" wrapText="false" indent="0" shrinkToFit="false"/>
      <protection locked="true" hidden="false"/>
    </xf>
    <xf numFmtId="165" fontId="7" fillId="9" borderId="4" xfId="20" applyFont="true" applyBorder="true" applyAlignment="true" applyProtection="false">
      <alignment horizontal="general" vertical="top" textRotation="0" wrapText="false" indent="0" shrinkToFit="false"/>
      <protection locked="true" hidden="false"/>
    </xf>
    <xf numFmtId="194" fontId="7" fillId="0" borderId="3" xfId="20" applyFont="true" applyBorder="true" applyAlignment="true" applyProtection="false">
      <alignment horizontal="general" vertical="top" textRotation="0" wrapText="false" indent="0" shrinkToFit="false"/>
      <protection locked="true" hidden="false"/>
    </xf>
    <xf numFmtId="194" fontId="7" fillId="0" borderId="4" xfId="20" applyFont="true" applyBorder="true" applyAlignment="true" applyProtection="false">
      <alignment horizontal="general" vertical="top" textRotation="0" wrapText="false" indent="0" shrinkToFit="false"/>
      <protection locked="true" hidden="false"/>
    </xf>
    <xf numFmtId="194" fontId="7" fillId="0" borderId="5" xfId="20" applyFont="true" applyBorder="true" applyAlignment="true" applyProtection="false">
      <alignment horizontal="general" vertical="top" textRotation="0" wrapText="false" indent="0" shrinkToFit="false"/>
      <protection locked="true" hidden="false"/>
    </xf>
    <xf numFmtId="166" fontId="6" fillId="0" borderId="0" xfId="20"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64" fontId="20" fillId="11" borderId="0" xfId="20" applyFont="true" applyBorder="true" applyAlignment="false" applyProtection="false">
      <alignment horizontal="general" vertical="bottom" textRotation="0" wrapText="false" indent="0" shrinkToFit="false"/>
      <protection locked="true" hidden="false"/>
    </xf>
    <xf numFmtId="164" fontId="21" fillId="10" borderId="0" xfId="2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95" fontId="0" fillId="0" borderId="0" xfId="0" applyFont="fals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colors>
    <indexedColors>
      <rgbColor rgb="FF000000"/>
      <rgbColor rgb="FFFFFFFF"/>
      <rgbColor rgb="FFFF0000"/>
      <rgbColor rgb="FF00FF00"/>
      <rgbColor rgb="FF0000FF"/>
      <rgbColor rgb="FFF4F6F8"/>
      <rgbColor rgb="FFFF00FF"/>
      <rgbColor rgb="FF00FFFF"/>
      <rgbColor rgb="FF800000"/>
      <rgbColor rgb="FF196B24"/>
      <rgbColor rgb="FF000080"/>
      <rgbColor rgb="FF808000"/>
      <rgbColor rgb="FF800080"/>
      <rgbColor rgb="FF0D7D74"/>
      <rgbColor rgb="FFCCCCCC"/>
      <rgbColor rgb="FF8B8B8B"/>
      <rgbColor rgb="FF9999FF"/>
      <rgbColor rgb="FF993366"/>
      <rgbColor rgb="FFFFF2CC"/>
      <rgbColor rgb="FFE8F5EE"/>
      <rgbColor rgb="FF660066"/>
      <rgbColor rgb="FFFF8080"/>
      <rgbColor rgb="FF156082"/>
      <rgbColor rgb="FFD0D5DD"/>
      <rgbColor rgb="FF000080"/>
      <rgbColor rgb="FFFF00FF"/>
      <rgbColor rgb="FFFFFF00"/>
      <rgbColor rgb="FF00FFFF"/>
      <rgbColor rgb="FF800080"/>
      <rgbColor rgb="FF800000"/>
      <rgbColor rgb="FF067647"/>
      <rgbColor rgb="FF0000FF"/>
      <rgbColor rgb="FF00CCFF"/>
      <rgbColor rgb="FFEAF5F3"/>
      <rgbColor rgb="FFE8EEF4"/>
      <rgbColor rgb="FFFFF4DE"/>
      <rgbColor rgb="FFC7DAD8"/>
      <rgbColor rgb="FFEAF2FF"/>
      <rgbColor rgb="FFE4E7EC"/>
      <rgbColor rgb="FFD9D9D9"/>
      <rgbColor rgb="FF3366FF"/>
      <rgbColor rgb="FF33CCCC"/>
      <rgbColor rgb="FF99CC00"/>
      <rgbColor rgb="FFFFCC00"/>
      <rgbColor rgb="FFFF9900"/>
      <rgbColor rgb="FFE97132"/>
      <rgbColor rgb="FF667085"/>
      <rgbColor rgb="FF98A2B3"/>
      <rgbColor rgb="FF15324B"/>
      <rgbColor rgb="FF339966"/>
      <rgbColor rgb="FF184E49"/>
      <rgbColor rgb="FF333300"/>
      <rgbColor rgb="FF7A4A00"/>
      <rgbColor rgb="FF993366"/>
      <rgbColor rgb="FF333399"/>
      <rgbColor rgb="FF34405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Cumulative cash ($)</a:t>
            </a:r>
          </a:p>
        </c:rich>
      </c:tx>
      <c:overlay val="0"/>
      <c:spPr>
        <a:noFill/>
        <a:ln w="0">
          <a:noFill/>
        </a:ln>
      </c:spPr>
    </c:title>
    <c:autoTitleDeleted val="0"/>
    <c:plotArea>
      <c:lineChart>
        <c:grouping val="standard"/>
        <c:varyColors val="0"/>
        <c:ser>
          <c:idx val="0"/>
          <c:order val="0"/>
          <c:tx>
            <c:strRef>
              <c:f>"Historical"</c:f>
              <c:strCache>
                <c:ptCount val="1"/>
                <c:pt idx="0">
                  <c:v>Historical</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Summary!$K$4:$K$15</c:f>
              <c:numCache>
                <c:formatCode>\$#,##0</c:formatCode>
                <c:ptCount val="12"/>
                <c:pt idx="0">
                  <c:v>0.800000000000011</c:v>
                </c:pt>
                <c:pt idx="1">
                  <c:v>96.4</c:v>
                </c:pt>
                <c:pt idx="2">
                  <c:v>286.8</c:v>
                </c:pt>
                <c:pt idx="3">
                  <c:v>572</c:v>
                </c:pt>
                <c:pt idx="4">
                  <c:v>952</c:v>
                </c:pt>
                <c:pt idx="5">
                  <c:v>1426.8</c:v>
                </c:pt>
                <c:pt idx="6">
                  <c:v>1901.6</c:v>
                </c:pt>
                <c:pt idx="7">
                  <c:v>2376.4</c:v>
                </c:pt>
                <c:pt idx="8">
                  <c:v>2851.2</c:v>
                </c:pt>
                <c:pt idx="9">
                  <c:v>3326</c:v>
                </c:pt>
                <c:pt idx="10">
                  <c:v>3800.8</c:v>
                </c:pt>
                <c:pt idx="11">
                  <c:v>4275.6</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Summary!$L$4:$L$15</c:f>
              <c:numCache>
                <c:formatCode>\$#,##0</c:formatCode>
                <c:ptCount val="12"/>
                <c:pt idx="0">
                  <c:v>-78.125</c:v>
                </c:pt>
                <c:pt idx="1">
                  <c:v>-63.1125</c:v>
                </c:pt>
                <c:pt idx="2">
                  <c:v>45.0375</c:v>
                </c:pt>
                <c:pt idx="3">
                  <c:v>246.325</c:v>
                </c:pt>
                <c:pt idx="4">
                  <c:v>526.575</c:v>
                </c:pt>
                <c:pt idx="5">
                  <c:v>899.7</c:v>
                </c:pt>
                <c:pt idx="6">
                  <c:v>1365.7</c:v>
                </c:pt>
                <c:pt idx="7">
                  <c:v>1831.7</c:v>
                </c:pt>
                <c:pt idx="8">
                  <c:v>2297.7</c:v>
                </c:pt>
                <c:pt idx="9">
                  <c:v>2763.7</c:v>
                </c:pt>
                <c:pt idx="10">
                  <c:v>3229.7</c:v>
                </c:pt>
                <c:pt idx="11">
                  <c:v>3695.7</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Summary!$M$4:$M$15</c:f>
              <c:numCache>
                <c:formatCode>\$#,##0</c:formatCode>
                <c:ptCount val="12"/>
                <c:pt idx="0">
                  <c:v>-263.875</c:v>
                </c:pt>
                <c:pt idx="1">
                  <c:v>-434.6125</c:v>
                </c:pt>
                <c:pt idx="2">
                  <c:v>-512.2125</c:v>
                </c:pt>
                <c:pt idx="3">
                  <c:v>-496.675</c:v>
                </c:pt>
                <c:pt idx="4">
                  <c:v>-402.175</c:v>
                </c:pt>
                <c:pt idx="5">
                  <c:v>-214.8</c:v>
                </c:pt>
                <c:pt idx="6">
                  <c:v>65.45</c:v>
                </c:pt>
                <c:pt idx="7">
                  <c:v>345.7</c:v>
                </c:pt>
                <c:pt idx="8">
                  <c:v>625.95</c:v>
                </c:pt>
                <c:pt idx="9">
                  <c:v>906.2</c:v>
                </c:pt>
                <c:pt idx="10">
                  <c:v>1186.45</c:v>
                </c:pt>
                <c:pt idx="11">
                  <c:v>1466.7</c:v>
                </c:pt>
              </c:numCache>
            </c:numRef>
          </c:val>
          <c:smooth val="0"/>
        </c:ser>
        <c:hiLowLines>
          <c:spPr>
            <a:ln w="0">
              <a:noFill/>
            </a:ln>
          </c:spPr>
        </c:hiLowLines>
        <c:marker val="0"/>
        <c:axId val="4773614"/>
        <c:axId val="43608885"/>
      </c:lineChart>
      <c:catAx>
        <c:axId val="477361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3608885"/>
        <c:crosses val="autoZero"/>
        <c:auto val="1"/>
        <c:lblAlgn val="ctr"/>
        <c:lblOffset val="100"/>
        <c:noMultiLvlLbl val="0"/>
      </c:catAx>
      <c:valAx>
        <c:axId val="43608885"/>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77361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Fixed software OpEx ($/month)</a:t>
            </a:r>
          </a:p>
        </c:rich>
      </c:tx>
      <c:overlay val="0"/>
      <c:spPr>
        <a:noFill/>
        <a:ln w="0">
          <a:noFill/>
        </a:ln>
      </c:spPr>
    </c:title>
    <c:autoTitleDeleted val="0"/>
    <c:plotArea>
      <c:barChart>
        <c:barDir val="col"/>
        <c:grouping val="clustered"/>
        <c:varyColors val="0"/>
        <c:ser>
          <c:idx val="0"/>
          <c:order val="0"/>
          <c:tx>
            <c:strRef>
              <c:f>"Historical"</c:f>
              <c:strCache>
                <c:ptCount val="1"/>
                <c:pt idx="0">
                  <c:v>Historical</c:v>
                </c:pt>
              </c:strCache>
            </c:strRef>
          </c:tx>
          <c:spPr>
            <a:solidFill>
              <a:srgbClr val="15608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Comparison'!$J$5</c:f>
              <c:numCache>
                <c:formatCode>\$#,##0</c:formatCode>
                <c:ptCount val="1"/>
                <c:pt idx="0">
                  <c:v>94</c:v>
                </c:pt>
              </c:numCache>
            </c:numRef>
          </c:val>
        </c:ser>
        <c:ser>
          <c:idx val="1"/>
          <c:order val="1"/>
          <c:tx>
            <c:strRef>
              <c:f>"Current lean"</c:f>
              <c:strCache>
                <c:ptCount val="1"/>
                <c:pt idx="0">
                  <c:v>Current lean</c:v>
                </c:pt>
              </c:strCache>
            </c:strRef>
          </c:tx>
          <c:spPr>
            <a:solidFill>
              <a:srgbClr val="e9713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Comparison'!$K$5</c:f>
              <c:numCache>
                <c:formatCode>\$#,##0</c:formatCode>
                <c:ptCount val="1"/>
                <c:pt idx="0">
                  <c:v>45</c:v>
                </c:pt>
              </c:numCache>
            </c:numRef>
          </c:val>
        </c:ser>
        <c:ser>
          <c:idx val="2"/>
          <c:order val="2"/>
          <c:tx>
            <c:strRef>
              <c:f>"Current monitored"</c:f>
              <c:strCache>
                <c:ptCount val="1"/>
                <c:pt idx="0">
                  <c:v>Current monitored</c:v>
                </c:pt>
              </c:strCache>
            </c:strRef>
          </c:tx>
          <c:spPr>
            <a:solidFill>
              <a:srgbClr val="196b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Comparison'!$L$5</c:f>
              <c:numCache>
                <c:formatCode>\$#,##0</c:formatCode>
                <c:ptCount val="1"/>
                <c:pt idx="0">
                  <c:v>71</c:v>
                </c:pt>
              </c:numCache>
            </c:numRef>
          </c:val>
        </c:ser>
        <c:gapWidth val="150"/>
        <c:overlap val="0"/>
        <c:axId val="66642329"/>
        <c:axId val="19395368"/>
      </c:barChart>
      <c:catAx>
        <c:axId val="6664232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9395368"/>
        <c:crosses val="autoZero"/>
        <c:auto val="1"/>
        <c:lblAlgn val="ctr"/>
        <c:lblOffset val="100"/>
        <c:noMultiLvlLbl val="0"/>
      </c:catAx>
      <c:valAx>
        <c:axId val="19395368"/>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6664232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Monthly operating profit ($)</a:t>
            </a:r>
          </a:p>
        </c:rich>
      </c:tx>
      <c:overlay val="0"/>
      <c:spPr>
        <a:noFill/>
        <a:ln w="0">
          <a:noFill/>
        </a:ln>
      </c:spPr>
    </c:title>
    <c:autoTitleDeleted val="0"/>
    <c:plotArea>
      <c:lineChart>
        <c:grouping val="standard"/>
        <c:varyColors val="0"/>
        <c:ser>
          <c:idx val="0"/>
          <c:order val="0"/>
          <c:tx>
            <c:strRef>
              <c:f>"Historical Feb 23"</c:f>
              <c:strCache>
                <c:ptCount val="1"/>
                <c:pt idx="0">
                  <c:v>Historical Feb 23</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12M'!$B$49:$B$60</c:f>
              <c:numCache>
                <c:formatCode>\$#,##0</c:formatCode>
                <c:ptCount val="12"/>
                <c:pt idx="0">
                  <c:v>0.800000000000011</c:v>
                </c:pt>
                <c:pt idx="1">
                  <c:v>95.6</c:v>
                </c:pt>
                <c:pt idx="2">
                  <c:v>190.4</c:v>
                </c:pt>
                <c:pt idx="3">
                  <c:v>285.2</c:v>
                </c:pt>
                <c:pt idx="4">
                  <c:v>380</c:v>
                </c:pt>
                <c:pt idx="5">
                  <c:v>474.8</c:v>
                </c:pt>
                <c:pt idx="6">
                  <c:v>474.8</c:v>
                </c:pt>
                <c:pt idx="7">
                  <c:v>474.8</c:v>
                </c:pt>
                <c:pt idx="8">
                  <c:v>474.8</c:v>
                </c:pt>
                <c:pt idx="9">
                  <c:v>474.8</c:v>
                </c:pt>
                <c:pt idx="10">
                  <c:v>474.8</c:v>
                </c:pt>
                <c:pt idx="11">
                  <c:v>474.8</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12M'!$C$49:$C$60</c:f>
              <c:numCache>
                <c:formatCode>\$#,##0</c:formatCode>
                <c:ptCount val="12"/>
                <c:pt idx="0">
                  <c:v>-78.125</c:v>
                </c:pt>
                <c:pt idx="1">
                  <c:v>15.0125</c:v>
                </c:pt>
                <c:pt idx="2">
                  <c:v>108.15</c:v>
                </c:pt>
                <c:pt idx="3">
                  <c:v>201.2875</c:v>
                </c:pt>
                <c:pt idx="4">
                  <c:v>280.25</c:v>
                </c:pt>
                <c:pt idx="5">
                  <c:v>373.125</c:v>
                </c:pt>
                <c:pt idx="6">
                  <c:v>466</c:v>
                </c:pt>
                <c:pt idx="7">
                  <c:v>466</c:v>
                </c:pt>
                <c:pt idx="8">
                  <c:v>466</c:v>
                </c:pt>
                <c:pt idx="9">
                  <c:v>466</c:v>
                </c:pt>
                <c:pt idx="10">
                  <c:v>466</c:v>
                </c:pt>
                <c:pt idx="11">
                  <c:v>466</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12M'!$D$49:$D$60</c:f>
              <c:numCache>
                <c:formatCode>\$#,##0</c:formatCode>
                <c:ptCount val="12"/>
                <c:pt idx="0">
                  <c:v>-263.875</c:v>
                </c:pt>
                <c:pt idx="1">
                  <c:v>-170.7375</c:v>
                </c:pt>
                <c:pt idx="2">
                  <c:v>-77.6</c:v>
                </c:pt>
                <c:pt idx="3">
                  <c:v>15.5375</c:v>
                </c:pt>
                <c:pt idx="4">
                  <c:v>94.5</c:v>
                </c:pt>
                <c:pt idx="5">
                  <c:v>187.375</c:v>
                </c:pt>
                <c:pt idx="6">
                  <c:v>280.25</c:v>
                </c:pt>
                <c:pt idx="7">
                  <c:v>280.25</c:v>
                </c:pt>
                <c:pt idx="8">
                  <c:v>280.25</c:v>
                </c:pt>
                <c:pt idx="9">
                  <c:v>280.25</c:v>
                </c:pt>
                <c:pt idx="10">
                  <c:v>280.25</c:v>
                </c:pt>
                <c:pt idx="11">
                  <c:v>280.25</c:v>
                </c:pt>
              </c:numCache>
            </c:numRef>
          </c:val>
          <c:smooth val="0"/>
        </c:ser>
        <c:hiLowLines>
          <c:spPr>
            <a:ln w="0">
              <a:noFill/>
            </a:ln>
          </c:spPr>
        </c:hiLowLines>
        <c:marker val="0"/>
        <c:axId val="41466256"/>
        <c:axId val="93447445"/>
      </c:lineChart>
      <c:catAx>
        <c:axId val="4146625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93447445"/>
        <c:crosses val="autoZero"/>
        <c:auto val="1"/>
        <c:lblAlgn val="ctr"/>
        <c:lblOffset val="100"/>
        <c:noMultiLvlLbl val="0"/>
      </c:catAx>
      <c:valAx>
        <c:axId val="93447445"/>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146625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17</xdr:row>
      <xdr:rowOff>0</xdr:rowOff>
    </xdr:from>
    <xdr:to>
      <xdr:col>16</xdr:col>
      <xdr:colOff>610920</xdr:colOff>
      <xdr:row>33</xdr:row>
      <xdr:rowOff>190080</xdr:rowOff>
    </xdr:to>
    <xdr:graphicFrame>
      <xdr:nvGraphicFramePr>
        <xdr:cNvPr id="0" name="Chart 1"/>
        <xdr:cNvGraphicFramePr/>
      </xdr:nvGraphicFramePr>
      <xdr:xfrm>
        <a:off x="13462560" y="4038480"/>
        <a:ext cx="7379640" cy="345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0</xdr:rowOff>
    </xdr:from>
    <xdr:to>
      <xdr:col>15</xdr:col>
      <xdr:colOff>611280</xdr:colOff>
      <xdr:row>25</xdr:row>
      <xdr:rowOff>190080</xdr:rowOff>
    </xdr:to>
    <xdr:graphicFrame>
      <xdr:nvGraphicFramePr>
        <xdr:cNvPr id="1" name="Chart 1"/>
        <xdr:cNvGraphicFramePr/>
      </xdr:nvGraphicFramePr>
      <xdr:xfrm>
        <a:off x="12546360" y="2638440"/>
        <a:ext cx="7802640" cy="3457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47</xdr:row>
      <xdr:rowOff>0</xdr:rowOff>
    </xdr:from>
    <xdr:to>
      <xdr:col>12</xdr:col>
      <xdr:colOff>915840</xdr:colOff>
      <xdr:row>62</xdr:row>
      <xdr:rowOff>190080</xdr:rowOff>
    </xdr:to>
    <xdr:graphicFrame>
      <xdr:nvGraphicFramePr>
        <xdr:cNvPr id="2" name="Chart 1"/>
        <xdr:cNvGraphicFramePr/>
      </xdr:nvGraphicFramePr>
      <xdr:xfrm>
        <a:off x="5850360" y="9810720"/>
        <a:ext cx="7329960" cy="3180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5" min="2" style="0" width="17"/>
    <col collapsed="false" customWidth="true" hidden="false" outlineLevel="0" max="6" min="6" style="0" width="18"/>
    <col collapsed="false" customWidth="true" hidden="false" outlineLevel="0" max="7" min="7" style="0" width="34"/>
    <col collapsed="false" customWidth="true" hidden="false" outlineLevel="0" max="8" min="8" style="0" width="37"/>
    <col collapsed="false" customWidth="true" hidden="false" outlineLevel="0" max="9" min="9" style="0" width="3"/>
    <col collapsed="false" customWidth="true" hidden="false" outlineLevel="0" max="10" min="10" style="0" width="16"/>
    <col collapsed="false" customWidth="true" hidden="false" outlineLevel="0" max="13" min="11" style="0" width="18"/>
  </cols>
  <sheetData>
    <row r="1" customFormat="false" ht="33.75" hidden="false" customHeight="true" outlineLevel="0" collapsed="false">
      <c r="A1" s="1" t="s">
        <v>0</v>
      </c>
      <c r="B1" s="1"/>
      <c r="C1" s="1"/>
      <c r="D1" s="1"/>
      <c r="E1" s="1"/>
      <c r="F1" s="1"/>
      <c r="G1" s="1"/>
      <c r="H1" s="1"/>
      <c r="I1" s="2"/>
      <c r="J1" s="2"/>
      <c r="K1" s="2"/>
      <c r="L1" s="2"/>
      <c r="M1" s="2"/>
    </row>
    <row r="2" customFormat="false" ht="31.5" hidden="false" customHeight="true" outlineLevel="0" collapsed="false">
      <c r="A2" s="3" t="s">
        <v>1</v>
      </c>
      <c r="B2" s="3"/>
      <c r="C2" s="3"/>
      <c r="D2" s="3"/>
      <c r="E2" s="3"/>
      <c r="F2" s="3"/>
      <c r="G2" s="3"/>
      <c r="H2" s="3"/>
      <c r="I2" s="2"/>
      <c r="J2" s="2"/>
      <c r="K2" s="2"/>
      <c r="L2" s="2"/>
      <c r="M2" s="2"/>
    </row>
    <row r="3" customFormat="false" ht="25.5" hidden="false" customHeight="true" outlineLevel="0" collapsed="false">
      <c r="A3" s="3"/>
      <c r="B3" s="3"/>
      <c r="C3" s="3"/>
      <c r="D3" s="3"/>
      <c r="E3" s="3"/>
      <c r="F3" s="3"/>
      <c r="G3" s="3"/>
      <c r="H3" s="3"/>
      <c r="I3" s="2"/>
      <c r="J3" s="4" t="s">
        <v>2</v>
      </c>
      <c r="K3" s="4" t="s">
        <v>3</v>
      </c>
      <c r="L3" s="4" t="s">
        <v>4</v>
      </c>
      <c r="M3" s="4" t="s">
        <v>5</v>
      </c>
    </row>
    <row r="4" customFormat="false" ht="15" hidden="false" customHeight="true" outlineLevel="0" collapsed="false">
      <c r="A4" s="5" t="s">
        <v>6</v>
      </c>
      <c r="B4" s="5"/>
      <c r="C4" s="5"/>
      <c r="D4" s="5"/>
      <c r="E4" s="5"/>
      <c r="F4" s="5"/>
      <c r="G4" s="5"/>
      <c r="H4" s="5"/>
      <c r="I4" s="2"/>
      <c r="J4" s="2" t="str">
        <f aca="false">TEXT('Forecast 12M'!B$4,"mmm yy")</f>
        <v>Sep 26</v>
      </c>
      <c r="K4" s="6" t="n">
        <f aca="false">'Forecast 12M'!B$12</f>
        <v>0.800000000000011</v>
      </c>
      <c r="L4" s="6" t="n">
        <f aca="false">'Forecast 12M'!B$27</f>
        <v>-78.125</v>
      </c>
      <c r="M4" s="6" t="n">
        <f aca="false">'Forecast 12M'!B$42</f>
        <v>-263.875</v>
      </c>
    </row>
    <row r="5" customFormat="false" ht="15" hidden="false" customHeight="false" outlineLevel="0" collapsed="false">
      <c r="A5" s="5"/>
      <c r="B5" s="5"/>
      <c r="C5" s="5"/>
      <c r="D5" s="5"/>
      <c r="E5" s="5"/>
      <c r="F5" s="5"/>
      <c r="G5" s="5"/>
      <c r="H5" s="5"/>
      <c r="I5" s="2"/>
      <c r="J5" s="2" t="str">
        <f aca="false">TEXT('Forecast 12M'!C$4,"mmm yy")</f>
        <v>Oct 26</v>
      </c>
      <c r="K5" s="6" t="n">
        <f aca="false">'Forecast 12M'!C$12</f>
        <v>96.4</v>
      </c>
      <c r="L5" s="6" t="n">
        <f aca="false">'Forecast 12M'!C$27</f>
        <v>-63.1125</v>
      </c>
      <c r="M5" s="6" t="n">
        <f aca="false">'Forecast 12M'!C$42</f>
        <v>-434.6125</v>
      </c>
    </row>
    <row r="6" customFormat="false" ht="15" hidden="false" customHeight="false" outlineLevel="0" collapsed="false">
      <c r="A6" s="5"/>
      <c r="B6" s="5"/>
      <c r="C6" s="5"/>
      <c r="D6" s="5"/>
      <c r="E6" s="5"/>
      <c r="F6" s="5"/>
      <c r="G6" s="5"/>
      <c r="H6" s="5"/>
      <c r="I6" s="2"/>
      <c r="J6" s="2" t="str">
        <f aca="false">TEXT('Forecast 12M'!D$4,"mmm yy")</f>
        <v>Nov 26</v>
      </c>
      <c r="K6" s="6" t="n">
        <f aca="false">'Forecast 12M'!D$12</f>
        <v>286.8</v>
      </c>
      <c r="L6" s="6" t="n">
        <f aca="false">'Forecast 12M'!D$27</f>
        <v>45.0375</v>
      </c>
      <c r="M6" s="6" t="n">
        <f aca="false">'Forecast 12M'!D$42</f>
        <v>-512.2125</v>
      </c>
    </row>
    <row r="7" customFormat="false" ht="15" hidden="false" customHeight="false" outlineLevel="0" collapsed="false">
      <c r="A7" s="2"/>
      <c r="B7" s="2"/>
      <c r="C7" s="2"/>
      <c r="D7" s="2"/>
      <c r="E7" s="2"/>
      <c r="F7" s="2"/>
      <c r="G7" s="2"/>
      <c r="H7" s="2"/>
      <c r="I7" s="2"/>
      <c r="J7" s="2" t="str">
        <f aca="false">TEXT('Forecast 12M'!E$4,"mmm yy")</f>
        <v>Dec 26</v>
      </c>
      <c r="K7" s="6" t="n">
        <f aca="false">'Forecast 12M'!E$12</f>
        <v>572</v>
      </c>
      <c r="L7" s="6" t="n">
        <f aca="false">'Forecast 12M'!E$27</f>
        <v>246.325</v>
      </c>
      <c r="M7" s="6" t="n">
        <f aca="false">'Forecast 12M'!E$42</f>
        <v>-496.675</v>
      </c>
    </row>
    <row r="8" customFormat="false" ht="15" hidden="false" customHeight="false" outlineLevel="0" collapsed="false">
      <c r="A8" s="7" t="s">
        <v>7</v>
      </c>
      <c r="B8" s="7"/>
      <c r="C8" s="7" t="s">
        <v>8</v>
      </c>
      <c r="D8" s="7"/>
      <c r="E8" s="7" t="s">
        <v>9</v>
      </c>
      <c r="F8" s="7"/>
      <c r="G8" s="7" t="s">
        <v>10</v>
      </c>
      <c r="H8" s="7"/>
      <c r="I8" s="2"/>
      <c r="J8" s="2" t="str">
        <f aca="false">TEXT('Forecast 12M'!F$4,"mmm yy")</f>
        <v>Jan 27</v>
      </c>
      <c r="K8" s="6" t="n">
        <f aca="false">'Forecast 12M'!F$12</f>
        <v>952</v>
      </c>
      <c r="L8" s="6" t="n">
        <f aca="false">'Forecast 12M'!F$27</f>
        <v>526.575</v>
      </c>
      <c r="M8" s="6" t="n">
        <f aca="false">'Forecast 12M'!F$42</f>
        <v>-402.175</v>
      </c>
    </row>
    <row r="9" customFormat="false" ht="15" hidden="false" customHeight="false" outlineLevel="0" collapsed="false">
      <c r="A9" s="8" t="n">
        <f aca="false">Assumptions!B28</f>
        <v>65</v>
      </c>
      <c r="B9" s="8"/>
      <c r="C9" s="9" t="n">
        <f aca="false">'Unit Economics'!B11</f>
        <v>9.2875</v>
      </c>
      <c r="D9" s="9"/>
      <c r="E9" s="10" t="n">
        <f aca="false">'Price Sensitivity'!B22</f>
        <v>10</v>
      </c>
      <c r="F9" s="10"/>
      <c r="G9" s="11" t="n">
        <f aca="false">'Unit Economics'!B16</f>
        <v>18.575</v>
      </c>
      <c r="H9" s="11"/>
      <c r="I9" s="2"/>
      <c r="J9" s="2" t="str">
        <f aca="false">TEXT('Forecast 12M'!G$4,"mmm yy")</f>
        <v>Feb 27</v>
      </c>
      <c r="K9" s="6" t="n">
        <f aca="false">'Forecast 12M'!G$12</f>
        <v>1426.8</v>
      </c>
      <c r="L9" s="6" t="n">
        <f aca="false">'Forecast 12M'!G$27</f>
        <v>899.7</v>
      </c>
      <c r="M9" s="6" t="n">
        <f aca="false">'Forecast 12M'!G$42</f>
        <v>-214.8</v>
      </c>
    </row>
    <row r="10" customFormat="false" ht="15" hidden="false" customHeight="false" outlineLevel="0" collapsed="false">
      <c r="A10" s="8"/>
      <c r="B10" s="8"/>
      <c r="C10" s="9"/>
      <c r="D10" s="9"/>
      <c r="E10" s="10"/>
      <c r="F10" s="10"/>
      <c r="G10" s="11"/>
      <c r="H10" s="11"/>
      <c r="I10" s="2"/>
      <c r="J10" s="2" t="str">
        <f aca="false">TEXT('Forecast 12M'!H$4,"mmm yy")</f>
        <v>Mar 27</v>
      </c>
      <c r="K10" s="6" t="n">
        <f aca="false">'Forecast 12M'!H$12</f>
        <v>1901.6</v>
      </c>
      <c r="L10" s="6" t="n">
        <f aca="false">'Forecast 12M'!H$27</f>
        <v>1365.7</v>
      </c>
      <c r="M10" s="6" t="n">
        <f aca="false">'Forecast 12M'!H$42</f>
        <v>65.45</v>
      </c>
    </row>
    <row r="11" customFormat="false" ht="15" hidden="false" customHeight="false" outlineLevel="0" collapsed="false">
      <c r="A11" s="2"/>
      <c r="B11" s="2"/>
      <c r="C11" s="2"/>
      <c r="D11" s="2"/>
      <c r="E11" s="2"/>
      <c r="F11" s="2"/>
      <c r="G11" s="2"/>
      <c r="H11" s="2"/>
      <c r="I11" s="2"/>
      <c r="J11" s="2" t="str">
        <f aca="false">TEXT('Forecast 12M'!I$4,"mmm yy")</f>
        <v>Apr 27</v>
      </c>
      <c r="K11" s="6" t="n">
        <f aca="false">'Forecast 12M'!I$12</f>
        <v>2376.4</v>
      </c>
      <c r="L11" s="6" t="n">
        <f aca="false">'Forecast 12M'!I$27</f>
        <v>1831.7</v>
      </c>
      <c r="M11" s="6" t="n">
        <f aca="false">'Forecast 12M'!I$42</f>
        <v>345.7</v>
      </c>
    </row>
    <row r="12" customFormat="false" ht="15" hidden="false" customHeight="false" outlineLevel="0" collapsed="false">
      <c r="A12" s="2"/>
      <c r="B12" s="2"/>
      <c r="C12" s="2"/>
      <c r="D12" s="2"/>
      <c r="E12" s="2"/>
      <c r="F12" s="2"/>
      <c r="G12" s="2"/>
      <c r="H12" s="2"/>
      <c r="I12" s="2"/>
      <c r="J12" s="2" t="str">
        <f aca="false">TEXT('Forecast 12M'!J$4,"mmm yy")</f>
        <v>May 27</v>
      </c>
      <c r="K12" s="6" t="n">
        <f aca="false">'Forecast 12M'!J$12</f>
        <v>2851.2</v>
      </c>
      <c r="L12" s="6" t="n">
        <f aca="false">'Forecast 12M'!J$27</f>
        <v>2297.7</v>
      </c>
      <c r="M12" s="6" t="n">
        <f aca="false">'Forecast 12M'!J$42</f>
        <v>625.95</v>
      </c>
    </row>
    <row r="13" customFormat="false" ht="21.75" hidden="false" customHeight="true" outlineLevel="0" collapsed="false">
      <c r="A13" s="12" t="s">
        <v>11</v>
      </c>
      <c r="B13" s="12"/>
      <c r="C13" s="12"/>
      <c r="D13" s="12"/>
      <c r="E13" s="12"/>
      <c r="F13" s="12"/>
      <c r="G13" s="12"/>
      <c r="H13" s="12"/>
      <c r="I13" s="2"/>
      <c r="J13" s="2" t="str">
        <f aca="false">TEXT('Forecast 12M'!K$4,"mmm yy")</f>
        <v>Jun 27</v>
      </c>
      <c r="K13" s="6" t="n">
        <f aca="false">'Forecast 12M'!K$12</f>
        <v>3326</v>
      </c>
      <c r="L13" s="6" t="n">
        <f aca="false">'Forecast 12M'!K$27</f>
        <v>2763.7</v>
      </c>
      <c r="M13" s="6" t="n">
        <f aca="false">'Forecast 12M'!K$42</f>
        <v>906.2</v>
      </c>
    </row>
    <row r="14" customFormat="false" ht="25.5" hidden="false" customHeight="true" outlineLevel="0" collapsed="false">
      <c r="A14" s="4" t="s">
        <v>12</v>
      </c>
      <c r="B14" s="4" t="s">
        <v>13</v>
      </c>
      <c r="C14" s="4" t="s">
        <v>14</v>
      </c>
      <c r="D14" s="4" t="s">
        <v>15</v>
      </c>
      <c r="E14" s="4" t="s">
        <v>16</v>
      </c>
      <c r="F14" s="4" t="s">
        <v>17</v>
      </c>
      <c r="G14" s="4" t="s">
        <v>18</v>
      </c>
      <c r="H14" s="4" t="s">
        <v>19</v>
      </c>
      <c r="I14" s="2"/>
      <c r="J14" s="2" t="str">
        <f aca="false">TEXT('Forecast 12M'!L$4,"mmm yy")</f>
        <v>Jul 27</v>
      </c>
      <c r="K14" s="6" t="n">
        <f aca="false">'Forecast 12M'!L$12</f>
        <v>3800.8</v>
      </c>
      <c r="L14" s="6" t="n">
        <f aca="false">'Forecast 12M'!L$27</f>
        <v>3229.7</v>
      </c>
      <c r="M14" s="6" t="n">
        <f aca="false">'Forecast 12M'!L$42</f>
        <v>1186.45</v>
      </c>
    </row>
    <row r="15" customFormat="false" ht="15" hidden="false" customHeight="false" outlineLevel="0" collapsed="false">
      <c r="A15" s="13" t="s">
        <v>20</v>
      </c>
      <c r="B15" s="14" t="n">
        <v>14.99</v>
      </c>
      <c r="C15" s="14" t="n">
        <f aca="false">Assumptions!B13</f>
        <v>10</v>
      </c>
      <c r="D15" s="14" t="n">
        <f aca="false">Assumptions!B13</f>
        <v>10</v>
      </c>
      <c r="E15" s="14" t="n">
        <f aca="false">C15-B15</f>
        <v>-4.99</v>
      </c>
      <c r="F15" s="13" t="s">
        <v>21</v>
      </c>
      <c r="G15" s="13" t="s">
        <v>22</v>
      </c>
      <c r="H15" s="13" t="s">
        <v>23</v>
      </c>
      <c r="I15" s="2"/>
      <c r="J15" s="2" t="str">
        <f aca="false">TEXT('Forecast 12M'!M$4,"mmm yy")</f>
        <v>Aug 27</v>
      </c>
      <c r="K15" s="6" t="n">
        <f aca="false">'Forecast 12M'!M$12</f>
        <v>4275.6</v>
      </c>
      <c r="L15" s="6" t="n">
        <f aca="false">'Forecast 12M'!M$27</f>
        <v>3695.7</v>
      </c>
      <c r="M15" s="6" t="n">
        <f aca="false">'Forecast 12M'!M$42</f>
        <v>1466.7</v>
      </c>
    </row>
    <row r="16" customFormat="false" ht="15" hidden="false" customHeight="false" outlineLevel="0" collapsed="false">
      <c r="A16" s="15" t="s">
        <v>24</v>
      </c>
      <c r="B16" s="16" t="n">
        <v>94</v>
      </c>
      <c r="C16" s="16" t="n">
        <f aca="false">Assumptions!B25</f>
        <v>45</v>
      </c>
      <c r="D16" s="16" t="n">
        <f aca="false">Assumptions!B26</f>
        <v>71</v>
      </c>
      <c r="E16" s="16" t="n">
        <f aca="false">C16-B16</f>
        <v>-49</v>
      </c>
      <c r="F16" s="15" t="s">
        <v>25</v>
      </c>
      <c r="G16" s="15" t="s">
        <v>26</v>
      </c>
      <c r="H16" s="15" t="s">
        <v>27</v>
      </c>
      <c r="I16" s="2"/>
      <c r="J16" s="2"/>
      <c r="K16" s="2"/>
      <c r="L16" s="2"/>
      <c r="M16" s="2"/>
    </row>
    <row r="17" customFormat="false" ht="15" hidden="false" customHeight="false" outlineLevel="0" collapsed="false">
      <c r="A17" s="15" t="s">
        <v>28</v>
      </c>
      <c r="B17" s="16" t="n">
        <v>5.51</v>
      </c>
      <c r="C17" s="16" t="n">
        <f aca="false">Assumptions!B13-'Unit Economics'!B11</f>
        <v>0.7125</v>
      </c>
      <c r="D17" s="16" t="n">
        <f aca="false">Assumptions!B13-'Unit Economics'!B11</f>
        <v>0.7125</v>
      </c>
      <c r="E17" s="16" t="n">
        <f aca="false">C17-B17</f>
        <v>-4.7975</v>
      </c>
      <c r="F17" s="15" t="s">
        <v>25</v>
      </c>
      <c r="G17" s="15" t="s">
        <v>29</v>
      </c>
      <c r="H17" s="15" t="s">
        <v>30</v>
      </c>
      <c r="I17" s="2"/>
      <c r="J17" s="2"/>
      <c r="K17" s="2"/>
      <c r="L17" s="2"/>
      <c r="M17" s="2"/>
    </row>
    <row r="18" customFormat="false" ht="15" hidden="false" customHeight="false" outlineLevel="0" collapsed="false">
      <c r="A18" s="15" t="s">
        <v>8</v>
      </c>
      <c r="B18" s="16" t="n">
        <v>9.48</v>
      </c>
      <c r="C18" s="16" t="n">
        <f aca="false">'Unit Economics'!B11</f>
        <v>9.2875</v>
      </c>
      <c r="D18" s="16" t="n">
        <f aca="false">'Unit Economics'!B11</f>
        <v>9.2875</v>
      </c>
      <c r="E18" s="16" t="n">
        <f aca="false">C18-B18</f>
        <v>-0.192500000000001</v>
      </c>
      <c r="F18" s="15" t="s">
        <v>31</v>
      </c>
      <c r="G18" s="15" t="s">
        <v>32</v>
      </c>
      <c r="H18" s="15" t="s">
        <v>33</v>
      </c>
      <c r="I18" s="2"/>
      <c r="J18" s="2"/>
      <c r="K18" s="2"/>
      <c r="L18" s="2"/>
      <c r="M18" s="2"/>
    </row>
    <row r="19" customFormat="false" ht="15" hidden="false" customHeight="false" outlineLevel="0" collapsed="false">
      <c r="A19" s="15" t="s">
        <v>34</v>
      </c>
      <c r="B19" s="16" t="n">
        <v>56.88</v>
      </c>
      <c r="C19" s="16" t="n">
        <f aca="false">'Unit Economics'!B15</f>
        <v>55.725</v>
      </c>
      <c r="D19" s="16" t="n">
        <f aca="false">'Unit Economics'!B15</f>
        <v>55.725</v>
      </c>
      <c r="E19" s="16" t="n">
        <f aca="false">C19-B19</f>
        <v>-1.15500000000001</v>
      </c>
      <c r="F19" s="15" t="s">
        <v>35</v>
      </c>
      <c r="G19" s="15" t="s">
        <v>36</v>
      </c>
      <c r="H19" s="15" t="s">
        <v>37</v>
      </c>
      <c r="I19" s="2"/>
      <c r="J19" s="2"/>
      <c r="K19" s="2"/>
      <c r="L19" s="2"/>
      <c r="M19" s="2"/>
    </row>
    <row r="20" customFormat="false" ht="15" hidden="false" customHeight="false" outlineLevel="0" collapsed="false">
      <c r="A20" s="15" t="s">
        <v>10</v>
      </c>
      <c r="B20" s="16" t="n">
        <v>18.96</v>
      </c>
      <c r="C20" s="16" t="n">
        <f aca="false">'Unit Economics'!B16</f>
        <v>18.575</v>
      </c>
      <c r="D20" s="16" t="n">
        <f aca="false">'Unit Economics'!B16</f>
        <v>18.575</v>
      </c>
      <c r="E20" s="16" t="n">
        <f aca="false">C20-B20</f>
        <v>-0.385000000000002</v>
      </c>
      <c r="F20" s="15" t="s">
        <v>31</v>
      </c>
      <c r="G20" s="15" t="s">
        <v>38</v>
      </c>
      <c r="H20" s="15" t="s">
        <v>39</v>
      </c>
      <c r="I20" s="2"/>
      <c r="J20" s="2"/>
      <c r="K20" s="2"/>
      <c r="L20" s="2"/>
      <c r="M20" s="2"/>
    </row>
    <row r="21" customFormat="false" ht="15" hidden="false" customHeight="false" outlineLevel="0" collapsed="false">
      <c r="A21" s="17" t="s">
        <v>40</v>
      </c>
      <c r="B21" s="18" t="n">
        <v>10</v>
      </c>
      <c r="C21" s="18" t="n">
        <f aca="false">'Unit Economics'!B13</f>
        <v>5</v>
      </c>
      <c r="D21" s="18" t="n">
        <f aca="false">'Unit Economics'!B14</f>
        <v>8</v>
      </c>
      <c r="E21" s="18" t="n">
        <f aca="false">C21-B21</f>
        <v>-5</v>
      </c>
      <c r="F21" s="17" t="s">
        <v>25</v>
      </c>
      <c r="G21" s="17" t="s">
        <v>41</v>
      </c>
      <c r="H21" s="17" t="s">
        <v>42</v>
      </c>
      <c r="I21" s="2"/>
      <c r="J21" s="2"/>
      <c r="K21" s="2"/>
      <c r="L21" s="2"/>
      <c r="M21" s="2"/>
    </row>
    <row r="22" customFormat="false" ht="15" hidden="false" customHeight="false" outlineLevel="0" collapsed="false">
      <c r="A22" s="2"/>
      <c r="B22" s="2"/>
      <c r="C22" s="2"/>
      <c r="D22" s="2"/>
      <c r="E22" s="2"/>
      <c r="F22" s="2"/>
      <c r="G22" s="2"/>
      <c r="H22" s="2"/>
      <c r="I22" s="2"/>
      <c r="J22" s="2"/>
      <c r="K22" s="2"/>
      <c r="L22" s="2"/>
      <c r="M22" s="2"/>
    </row>
    <row r="23" customFormat="false" ht="15" hidden="false" customHeight="false" outlineLevel="0" collapsed="false">
      <c r="A23" s="2"/>
      <c r="B23" s="2"/>
      <c r="C23" s="2"/>
      <c r="D23" s="2"/>
      <c r="E23" s="2"/>
      <c r="F23" s="2"/>
      <c r="G23" s="2"/>
      <c r="H23" s="2"/>
      <c r="I23" s="2"/>
      <c r="J23" s="2"/>
      <c r="K23" s="2"/>
      <c r="L23" s="2"/>
      <c r="M23" s="2"/>
    </row>
    <row r="24" customFormat="false" ht="21.75" hidden="false" customHeight="true" outlineLevel="0" collapsed="false">
      <c r="A24" s="12" t="s">
        <v>43</v>
      </c>
      <c r="B24" s="12"/>
      <c r="C24" s="12"/>
      <c r="D24" s="12"/>
      <c r="E24" s="12"/>
      <c r="F24" s="12"/>
      <c r="G24" s="12"/>
      <c r="H24" s="12"/>
      <c r="I24" s="2"/>
      <c r="J24" s="2"/>
      <c r="K24" s="2"/>
      <c r="L24" s="2"/>
      <c r="M24" s="2"/>
    </row>
    <row r="25" customFormat="false" ht="25.5" hidden="false" customHeight="true" outlineLevel="0" collapsed="false">
      <c r="A25" s="4" t="s">
        <v>44</v>
      </c>
      <c r="B25" s="4" t="s">
        <v>45</v>
      </c>
      <c r="C25" s="4" t="s">
        <v>46</v>
      </c>
      <c r="D25" s="4" t="s">
        <v>47</v>
      </c>
      <c r="E25" s="2"/>
      <c r="F25" s="19" t="s">
        <v>48</v>
      </c>
      <c r="G25" s="19"/>
      <c r="H25" s="19"/>
      <c r="I25" s="2"/>
      <c r="J25" s="2"/>
      <c r="K25" s="2"/>
      <c r="L25" s="2"/>
      <c r="M25" s="2"/>
    </row>
    <row r="26" customFormat="false" ht="15" hidden="false" customHeight="false" outlineLevel="0" collapsed="false">
      <c r="A26" s="13" t="s">
        <v>49</v>
      </c>
      <c r="B26" s="13" t="s">
        <v>50</v>
      </c>
      <c r="C26" s="13" t="s">
        <v>50</v>
      </c>
      <c r="D26" s="13" t="s">
        <v>51</v>
      </c>
      <c r="E26" s="2"/>
      <c r="F26" s="19"/>
      <c r="G26" s="19"/>
      <c r="H26" s="19"/>
      <c r="I26" s="2"/>
      <c r="J26" s="2"/>
      <c r="K26" s="2"/>
      <c r="L26" s="2"/>
      <c r="M26" s="2"/>
    </row>
    <row r="27" customFormat="false" ht="15" hidden="false" customHeight="false" outlineLevel="0" collapsed="false">
      <c r="A27" s="15" t="s">
        <v>4</v>
      </c>
      <c r="B27" s="15" t="str">
        <f aca="false">IFERROR("Month "&amp;MATCH("Yes",'Forecast 12M'!B28:M28,0),"none in 12")</f>
        <v>Month 2</v>
      </c>
      <c r="C27" s="15" t="str">
        <f aca="false">IFERROR("Month "&amp;MATCH("Yes",'Forecast 12M'!B29:M29,0),"none in 12")</f>
        <v>Month 3</v>
      </c>
      <c r="D27" s="15" t="s">
        <v>52</v>
      </c>
      <c r="E27" s="2"/>
      <c r="F27" s="19"/>
      <c r="G27" s="19"/>
      <c r="H27" s="19"/>
      <c r="I27" s="2"/>
      <c r="J27" s="2"/>
      <c r="K27" s="2"/>
      <c r="L27" s="2"/>
      <c r="M27" s="2"/>
    </row>
    <row r="28" customFormat="false" ht="15" hidden="false" customHeight="false" outlineLevel="0" collapsed="false">
      <c r="A28" s="17" t="s">
        <v>53</v>
      </c>
      <c r="B28" s="17" t="str">
        <f aca="false">IFERROR("Month "&amp;MATCH("Yes",'Forecast 12M'!B43:M43,0),"none in 12")</f>
        <v>Month 4</v>
      </c>
      <c r="C28" s="17" t="str">
        <f aca="false">IFERROR("Month "&amp;MATCH("Yes",'Forecast 12M'!B44:M44,0),"none in 12")</f>
        <v>Month 7</v>
      </c>
      <c r="D28" s="17" t="s">
        <v>54</v>
      </c>
      <c r="E28" s="2"/>
      <c r="F28" s="19"/>
      <c r="G28" s="19"/>
      <c r="H28" s="19"/>
      <c r="I28" s="2"/>
      <c r="J28" s="2"/>
      <c r="K28" s="2"/>
      <c r="L28" s="2"/>
      <c r="M28" s="2"/>
    </row>
    <row r="29" customFormat="false" ht="15" hidden="false" customHeight="false" outlineLevel="0" collapsed="false">
      <c r="A29" s="17" t="s">
        <v>55</v>
      </c>
      <c r="B29" s="17" t="str">
        <f aca="false">IF(ISNUMBER('Launch Cap Plan'!B45),"Month "&amp;'Launch Cap Plan'!B45,'Launch Cap Plan'!B45)</f>
        <v>Month 5</v>
      </c>
      <c r="C29" s="17" t="str">
        <f aca="false">IF(ISNUMBER('Launch Cap Plan'!B46),"Month "&amp;'Launch Cap Plan'!B46,'Launch Cap Plan'!B46)</f>
        <v>Month 9</v>
      </c>
      <c r="D29" s="17" t="s">
        <v>56</v>
      </c>
      <c r="E29" s="2"/>
      <c r="F29" s="2"/>
      <c r="G29" s="2"/>
      <c r="H29" s="2"/>
      <c r="I29" s="2"/>
      <c r="J29" s="2"/>
      <c r="K29" s="2"/>
      <c r="L29" s="2"/>
      <c r="M29" s="2"/>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15" hidden="false" customHeight="true" outlineLevel="0" collapsed="false">
      <c r="A32" s="20" t="s">
        <v>57</v>
      </c>
      <c r="B32" s="20"/>
      <c r="C32" s="20"/>
      <c r="D32" s="20"/>
      <c r="E32" s="20"/>
      <c r="F32" s="20"/>
      <c r="G32" s="20"/>
      <c r="H32" s="20"/>
      <c r="I32" s="2"/>
      <c r="J32" s="2"/>
      <c r="K32" s="2"/>
      <c r="L32" s="2"/>
      <c r="M32" s="2"/>
    </row>
    <row r="33" customFormat="false" ht="15" hidden="false" customHeight="false" outlineLevel="0" collapsed="false">
      <c r="A33" s="20"/>
      <c r="B33" s="20"/>
      <c r="C33" s="20"/>
      <c r="D33" s="20"/>
      <c r="E33" s="20"/>
      <c r="F33" s="20"/>
      <c r="G33" s="20"/>
      <c r="H33" s="20"/>
      <c r="I33" s="2"/>
      <c r="J33" s="2"/>
      <c r="K33" s="2"/>
      <c r="L33" s="2"/>
      <c r="M33" s="2"/>
    </row>
    <row r="34" customFormat="false" ht="15" hidden="false" customHeight="false" outlineLevel="0" collapsed="false">
      <c r="A34" s="20"/>
      <c r="B34" s="20"/>
      <c r="C34" s="20"/>
      <c r="D34" s="20"/>
      <c r="E34" s="20"/>
      <c r="F34" s="20"/>
      <c r="G34" s="20"/>
      <c r="H34" s="20"/>
      <c r="I34" s="2"/>
      <c r="J34" s="2"/>
      <c r="K34" s="2"/>
      <c r="L34" s="2"/>
      <c r="M34" s="2"/>
    </row>
  </sheetData>
  <mergeCells count="15">
    <mergeCell ref="A1:H1"/>
    <mergeCell ref="A2:H3"/>
    <mergeCell ref="A4:H6"/>
    <mergeCell ref="A8:B8"/>
    <mergeCell ref="C8:D8"/>
    <mergeCell ref="E8:F8"/>
    <mergeCell ref="G8:H8"/>
    <mergeCell ref="A9:B10"/>
    <mergeCell ref="C9:D10"/>
    <mergeCell ref="E9:F10"/>
    <mergeCell ref="G9:H10"/>
    <mergeCell ref="A13:H13"/>
    <mergeCell ref="A24:H24"/>
    <mergeCell ref="F25:H28"/>
    <mergeCell ref="A32:H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2"/>
    <col collapsed="false" customWidth="true" hidden="false" outlineLevel="0" max="3" min="3" style="0" width="22"/>
    <col collapsed="false" customWidth="true" hidden="false" outlineLevel="0" max="4" min="4" style="0" width="58"/>
  </cols>
  <sheetData>
    <row r="1" customFormat="false" ht="22.05" hidden="false" customHeight="false" outlineLevel="0" collapsed="false">
      <c r="A1" s="1" t="s">
        <v>58</v>
      </c>
      <c r="B1" s="1"/>
      <c r="C1" s="1"/>
      <c r="D1" s="1"/>
    </row>
    <row r="2" customFormat="false" ht="43.5" hidden="false" customHeight="true" outlineLevel="0" collapsed="false">
      <c r="A2" s="21" t="s">
        <v>59</v>
      </c>
      <c r="B2" s="21"/>
      <c r="C2" s="21"/>
      <c r="D2" s="21"/>
    </row>
    <row r="4" customFormat="false" ht="15" hidden="false" customHeight="false" outlineLevel="0" collapsed="false">
      <c r="A4" s="22" t="s">
        <v>60</v>
      </c>
      <c r="B4" s="22"/>
      <c r="C4" s="22"/>
      <c r="D4" s="22"/>
    </row>
    <row r="5" customFormat="false" ht="15" hidden="false" customHeight="false" outlineLevel="0" collapsed="false">
      <c r="A5" s="4" t="s">
        <v>61</v>
      </c>
      <c r="B5" s="4" t="s">
        <v>62</v>
      </c>
      <c r="C5" s="4" t="s">
        <v>63</v>
      </c>
      <c r="D5" s="4" t="s">
        <v>64</v>
      </c>
    </row>
    <row r="6" customFormat="false" ht="30" hidden="false" customHeight="true" outlineLevel="0" collapsed="false">
      <c r="A6" s="23" t="s">
        <v>20</v>
      </c>
      <c r="B6" s="24" t="s">
        <v>65</v>
      </c>
      <c r="C6" s="25" t="n">
        <f aca="false">Assumptions!B13</f>
        <v>10</v>
      </c>
      <c r="D6" s="26" t="s">
        <v>66</v>
      </c>
    </row>
    <row r="7" customFormat="false" ht="30" hidden="false" customHeight="true" outlineLevel="0" collapsed="false">
      <c r="A7" s="23" t="s">
        <v>67</v>
      </c>
      <c r="B7" s="24" t="s">
        <v>68</v>
      </c>
      <c r="C7" s="27" t="n">
        <f aca="false">Assumptions!B9</f>
        <v>500</v>
      </c>
      <c r="D7" s="26" t="s">
        <v>69</v>
      </c>
    </row>
    <row r="8" customFormat="false" ht="30" hidden="false" customHeight="true" outlineLevel="0" collapsed="false">
      <c r="A8" s="23" t="s">
        <v>70</v>
      </c>
      <c r="B8" s="24" t="s">
        <v>71</v>
      </c>
      <c r="C8" s="28" t="n">
        <f aca="false">'Launch Cap Plan'!B6</f>
        <v>100</v>
      </c>
      <c r="D8" s="26" t="s">
        <v>72</v>
      </c>
    </row>
    <row r="9" customFormat="false" ht="15" hidden="false" customHeight="true" outlineLevel="0" collapsed="false">
      <c r="A9" s="23" t="s">
        <v>73</v>
      </c>
      <c r="B9" s="24" t="s">
        <v>74</v>
      </c>
      <c r="C9" s="25" t="n">
        <f aca="false">'Forecast 12M'!M19</f>
        <v>600</v>
      </c>
      <c r="D9" s="26" t="s">
        <v>75</v>
      </c>
    </row>
    <row r="10" customFormat="false" ht="30" hidden="false" customHeight="true" outlineLevel="0" collapsed="false">
      <c r="A10" s="23" t="s">
        <v>76</v>
      </c>
      <c r="B10" s="24" t="s">
        <v>77</v>
      </c>
      <c r="C10" s="25" t="n">
        <f aca="false">'Price Sensitivity'!B8</f>
        <v>0.66</v>
      </c>
      <c r="D10" s="26" t="s">
        <v>78</v>
      </c>
    </row>
    <row r="11" customFormat="false" ht="30" hidden="false" customHeight="true" outlineLevel="0" collapsed="false">
      <c r="A11" s="23" t="s">
        <v>79</v>
      </c>
      <c r="B11" s="24" t="s">
        <v>80</v>
      </c>
      <c r="C11" s="29" t="n">
        <f aca="false">'Unit Economics'!B10</f>
        <v>0.0525</v>
      </c>
      <c r="D11" s="26" t="s">
        <v>81</v>
      </c>
    </row>
    <row r="12" customFormat="false" ht="45" hidden="false" customHeight="true" outlineLevel="0" collapsed="false">
      <c r="A12" s="23" t="s">
        <v>82</v>
      </c>
      <c r="B12" s="24" t="s">
        <v>83</v>
      </c>
      <c r="C12" s="30" t="n">
        <f aca="false">Assumptions!B33</f>
        <v>1000</v>
      </c>
      <c r="D12" s="26" t="s">
        <v>84</v>
      </c>
    </row>
    <row r="13" customFormat="false" ht="15" hidden="false" customHeight="true" outlineLevel="0" collapsed="false">
      <c r="A13" s="23" t="s">
        <v>85</v>
      </c>
      <c r="B13" s="24" t="s">
        <v>86</v>
      </c>
      <c r="C13" s="25" t="n">
        <f aca="false">'Price Sensitivity'!B8+'Price Sensitivity'!B10</f>
        <v>0.7125</v>
      </c>
      <c r="D13" s="26" t="s">
        <v>87</v>
      </c>
    </row>
    <row r="14" customFormat="false" ht="30" hidden="false" customHeight="true" outlineLevel="0" collapsed="false">
      <c r="A14" s="23" t="s">
        <v>88</v>
      </c>
      <c r="B14" s="24" t="s">
        <v>89</v>
      </c>
      <c r="C14" s="25" t="n">
        <f aca="false">'Price Sensitivity'!B18</f>
        <v>26.25</v>
      </c>
      <c r="D14" s="26" t="s">
        <v>90</v>
      </c>
    </row>
    <row r="15" customFormat="false" ht="45" hidden="false" customHeight="true" outlineLevel="0" collapsed="false">
      <c r="A15" s="23" t="s">
        <v>91</v>
      </c>
      <c r="B15" s="24" t="s">
        <v>92</v>
      </c>
      <c r="C15" s="25" t="n">
        <f aca="false">Assumptions!B25</f>
        <v>45</v>
      </c>
      <c r="D15" s="26" t="s">
        <v>93</v>
      </c>
    </row>
    <row r="16" customFormat="false" ht="45" hidden="false" customHeight="true" outlineLevel="0" collapsed="false">
      <c r="A16" s="23" t="s">
        <v>94</v>
      </c>
      <c r="B16" s="24" t="s">
        <v>95</v>
      </c>
      <c r="C16" s="25" t="n">
        <f aca="false">Assumptions!B26</f>
        <v>71</v>
      </c>
      <c r="D16" s="26" t="s">
        <v>96</v>
      </c>
    </row>
    <row r="17" customFormat="false" ht="30" hidden="false" customHeight="true" outlineLevel="0" collapsed="false">
      <c r="A17" s="23" t="s">
        <v>97</v>
      </c>
      <c r="B17" s="24" t="s">
        <v>98</v>
      </c>
      <c r="D17" s="26" t="s">
        <v>99</v>
      </c>
    </row>
    <row r="18" customFormat="false" ht="30" hidden="false" customHeight="true" outlineLevel="0" collapsed="false">
      <c r="A18" s="23" t="s">
        <v>100</v>
      </c>
      <c r="B18" s="24" t="s">
        <v>101</v>
      </c>
      <c r="C18" s="31" t="n">
        <f aca="false">Assumptions!B32</f>
        <v>10</v>
      </c>
      <c r="D18" s="26" t="s">
        <v>102</v>
      </c>
    </row>
    <row r="19" customFormat="false" ht="45" hidden="false" customHeight="true" outlineLevel="0" collapsed="false">
      <c r="A19" s="23" t="s">
        <v>103</v>
      </c>
      <c r="B19" s="24" t="s">
        <v>104</v>
      </c>
      <c r="C19" s="25" t="n">
        <f aca="false">Assumptions!B51</f>
        <v>20</v>
      </c>
      <c r="D19" s="26" t="s">
        <v>105</v>
      </c>
    </row>
    <row r="20" customFormat="false" ht="30" hidden="false" customHeight="true" outlineLevel="0" collapsed="false">
      <c r="A20" s="23" t="s">
        <v>106</v>
      </c>
      <c r="B20" s="24" t="s">
        <v>107</v>
      </c>
      <c r="C20" s="25" t="n">
        <f aca="false">Assumptions!B28</f>
        <v>65</v>
      </c>
      <c r="D20" s="26" t="s">
        <v>108</v>
      </c>
    </row>
    <row r="22" customFormat="false" ht="15" hidden="false" customHeight="false" outlineLevel="0" collapsed="false">
      <c r="A22" s="22" t="s">
        <v>109</v>
      </c>
      <c r="B22" s="22"/>
      <c r="C22" s="22"/>
      <c r="D22" s="22"/>
    </row>
    <row r="23" customFormat="false" ht="15" hidden="false" customHeight="false" outlineLevel="0" collapsed="false">
      <c r="A23" s="4" t="s">
        <v>61</v>
      </c>
      <c r="B23" s="4" t="s">
        <v>62</v>
      </c>
      <c r="C23" s="4" t="s">
        <v>63</v>
      </c>
      <c r="D23" s="4" t="s">
        <v>64</v>
      </c>
    </row>
    <row r="24" customFormat="false" ht="30" hidden="false" customHeight="true" outlineLevel="0" collapsed="false">
      <c r="A24" s="23" t="s">
        <v>110</v>
      </c>
      <c r="B24" s="24" t="s">
        <v>111</v>
      </c>
      <c r="C24" s="29" t="n">
        <f aca="false">'Price Sensitivity'!B11</f>
        <v>9.2875</v>
      </c>
      <c r="D24" s="26" t="s">
        <v>112</v>
      </c>
    </row>
    <row r="25" customFormat="false" ht="30" hidden="false" customHeight="true" outlineLevel="0" collapsed="false">
      <c r="A25" s="23" t="s">
        <v>113</v>
      </c>
      <c r="B25" s="24" t="s">
        <v>114</v>
      </c>
      <c r="C25" s="32" t="n">
        <f aca="false">'Price Sensitivity'!B12</f>
        <v>0.92875</v>
      </c>
      <c r="D25" s="26" t="s">
        <v>115</v>
      </c>
    </row>
    <row r="26" customFormat="false" ht="30" hidden="false" customHeight="true" outlineLevel="0" collapsed="false">
      <c r="A26" s="23" t="s">
        <v>116</v>
      </c>
      <c r="B26" s="24" t="s">
        <v>117</v>
      </c>
      <c r="C26" s="28" t="n">
        <f aca="false">'Price Sensitivity'!B22</f>
        <v>10</v>
      </c>
      <c r="D26" s="26" t="s">
        <v>118</v>
      </c>
    </row>
    <row r="27" customFormat="false" ht="30" hidden="false" customHeight="true" outlineLevel="0" collapsed="false">
      <c r="A27" s="23" t="s">
        <v>119</v>
      </c>
      <c r="B27" s="24" t="s">
        <v>120</v>
      </c>
      <c r="C27" s="28" t="n">
        <f aca="false">'Price Sensitivity'!B73</f>
        <v>14</v>
      </c>
      <c r="D27" s="26" t="s">
        <v>121</v>
      </c>
    </row>
    <row r="28" customFormat="false" ht="30" hidden="false" customHeight="true" outlineLevel="0" collapsed="false">
      <c r="A28" s="23" t="s">
        <v>122</v>
      </c>
      <c r="B28" s="24" t="s">
        <v>123</v>
      </c>
      <c r="C28" s="25" t="n">
        <f aca="false">'Price Sensitivity'!E44</f>
        <v>1.9432918395574</v>
      </c>
      <c r="D28" s="26" t="s">
        <v>124</v>
      </c>
    </row>
    <row r="29" customFormat="false" ht="30" hidden="false" customHeight="true" outlineLevel="0" collapsed="false">
      <c r="A29" s="23" t="s">
        <v>125</v>
      </c>
      <c r="B29" s="24" t="s">
        <v>126</v>
      </c>
      <c r="C29" s="25" t="n">
        <f aca="false">'Forecast 12M'!M26</f>
        <v>466</v>
      </c>
      <c r="D29" s="26" t="s">
        <v>127</v>
      </c>
    </row>
    <row r="30" customFormat="false" ht="30" hidden="false" customHeight="true" outlineLevel="0" collapsed="false">
      <c r="A30" s="23" t="s">
        <v>128</v>
      </c>
      <c r="B30" s="24" t="s">
        <v>129</v>
      </c>
      <c r="C30" s="33" t="n">
        <f aca="false">'Price Sensitivity'!B25</f>
        <v>60</v>
      </c>
      <c r="D30" s="26" t="s">
        <v>130</v>
      </c>
    </row>
    <row r="31" customFormat="false" ht="30" hidden="false" customHeight="true" outlineLevel="0" collapsed="false">
      <c r="A31" s="23" t="s">
        <v>131</v>
      </c>
      <c r="B31" s="24" t="s">
        <v>132</v>
      </c>
      <c r="C31" s="25" t="n">
        <f aca="false">'Forecast 12M'!M27</f>
        <v>3695.7</v>
      </c>
      <c r="D31" s="26" t="s">
        <v>133</v>
      </c>
    </row>
    <row r="33" customFormat="false" ht="15" hidden="false" customHeight="false" outlineLevel="0" collapsed="false">
      <c r="A33" s="22" t="s">
        <v>134</v>
      </c>
      <c r="B33" s="22"/>
      <c r="C33" s="22"/>
      <c r="D33" s="22"/>
    </row>
    <row r="34" customFormat="false" ht="15" hidden="false" customHeight="false" outlineLevel="0" collapsed="false">
      <c r="A34" s="4" t="s">
        <v>61</v>
      </c>
      <c r="B34" s="4" t="s">
        <v>62</v>
      </c>
      <c r="C34" s="4" t="s">
        <v>63</v>
      </c>
      <c r="D34" s="4" t="s">
        <v>64</v>
      </c>
    </row>
    <row r="35" customFormat="false" ht="30" hidden="false" customHeight="true" outlineLevel="0" collapsed="false">
      <c r="A35" s="23" t="s">
        <v>135</v>
      </c>
      <c r="B35" s="24" t="s">
        <v>136</v>
      </c>
      <c r="C35" s="25" t="n">
        <f aca="false">'Price Sensitivity'!B13</f>
        <v>55.725</v>
      </c>
      <c r="D35" s="26" t="s">
        <v>137</v>
      </c>
    </row>
    <row r="36" customFormat="false" ht="30" hidden="false" customHeight="true" outlineLevel="0" collapsed="false">
      <c r="A36" s="23" t="s">
        <v>138</v>
      </c>
      <c r="B36" s="24" t="s">
        <v>139</v>
      </c>
      <c r="D36" s="26" t="s">
        <v>140</v>
      </c>
    </row>
    <row r="37" customFormat="false" ht="30" hidden="false" customHeight="true" outlineLevel="0" collapsed="false">
      <c r="A37" s="23" t="s">
        <v>10</v>
      </c>
      <c r="B37" s="24" t="s">
        <v>141</v>
      </c>
      <c r="C37" s="25" t="n">
        <f aca="false">'Price Sensitivity'!B14</f>
        <v>18.575</v>
      </c>
      <c r="D37" s="26" t="s">
        <v>142</v>
      </c>
    </row>
    <row r="38" customFormat="false" ht="30" hidden="false" customHeight="true" outlineLevel="0" collapsed="false">
      <c r="A38" s="23" t="s">
        <v>143</v>
      </c>
      <c r="B38" s="24" t="s">
        <v>144</v>
      </c>
      <c r="C38" s="34" t="n">
        <f aca="false">'Unit Economics'!B17</f>
        <v>2</v>
      </c>
      <c r="D38" s="26" t="s">
        <v>145</v>
      </c>
    </row>
    <row r="39" customFormat="false" ht="30" hidden="false" customHeight="true" outlineLevel="0" collapsed="false">
      <c r="A39" s="23" t="s">
        <v>146</v>
      </c>
      <c r="B39" s="24" t="s">
        <v>147</v>
      </c>
      <c r="D39" s="26" t="s">
        <v>148</v>
      </c>
    </row>
    <row r="41" customFormat="false" ht="15" hidden="false" customHeight="false" outlineLevel="0" collapsed="false">
      <c r="A41" s="22" t="s">
        <v>149</v>
      </c>
      <c r="B41" s="22"/>
      <c r="C41" s="22"/>
      <c r="D41" s="22"/>
    </row>
    <row r="42" customFormat="false" ht="15" hidden="false" customHeight="false" outlineLevel="0" collapsed="false">
      <c r="A42" s="4" t="s">
        <v>61</v>
      </c>
      <c r="B42" s="4" t="s">
        <v>62</v>
      </c>
      <c r="C42" s="4" t="s">
        <v>63</v>
      </c>
      <c r="D42" s="4" t="s">
        <v>64</v>
      </c>
    </row>
    <row r="43" customFormat="false" ht="30" hidden="false" customHeight="true" outlineLevel="0" collapsed="false">
      <c r="A43" s="23" t="s">
        <v>150</v>
      </c>
      <c r="B43" s="24" t="s">
        <v>151</v>
      </c>
      <c r="C43" s="35" t="n">
        <f aca="false">'Launch Cap Plan'!B45</f>
        <v>5</v>
      </c>
      <c r="D43" s="26" t="s">
        <v>152</v>
      </c>
    </row>
    <row r="44" customFormat="false" ht="30" hidden="false" customHeight="true" outlineLevel="0" collapsed="false">
      <c r="A44" s="23" t="s">
        <v>153</v>
      </c>
      <c r="B44" s="24" t="s">
        <v>154</v>
      </c>
      <c r="C44" s="35" t="n">
        <f aca="false">'Launch Cap Plan'!B46</f>
        <v>9</v>
      </c>
      <c r="D44" s="26" t="s">
        <v>155</v>
      </c>
    </row>
    <row r="45" customFormat="false" ht="15" hidden="false" customHeight="true" outlineLevel="0" collapsed="false">
      <c r="A45" s="23" t="s">
        <v>156</v>
      </c>
      <c r="B45" s="24" t="s">
        <v>157</v>
      </c>
      <c r="C45" s="35" t="n">
        <f aca="false">'Price Sensitivity'!B34</f>
        <v>2</v>
      </c>
      <c r="D45" s="26" t="s">
        <v>158</v>
      </c>
    </row>
    <row r="47" customFormat="false" ht="15" hidden="false" customHeight="false" outlineLevel="0" collapsed="false">
      <c r="A47" s="22" t="s">
        <v>159</v>
      </c>
      <c r="B47" s="22"/>
      <c r="C47" s="22"/>
      <c r="D47" s="22"/>
    </row>
    <row r="48" customFormat="false" ht="15" hidden="false" customHeight="false" outlineLevel="0" collapsed="false">
      <c r="A48" s="4" t="s">
        <v>61</v>
      </c>
      <c r="B48" s="4" t="s">
        <v>62</v>
      </c>
      <c r="C48" s="4" t="s">
        <v>63</v>
      </c>
      <c r="D48" s="4" t="s">
        <v>64</v>
      </c>
    </row>
    <row r="49" customFormat="false" ht="15" hidden="false" customHeight="true" outlineLevel="0" collapsed="false">
      <c r="A49" s="23" t="s">
        <v>160</v>
      </c>
      <c r="B49" s="24" t="s">
        <v>161</v>
      </c>
      <c r="C49" s="36" t="n">
        <f aca="false">Assumptions!B9</f>
        <v>500</v>
      </c>
      <c r="D49" s="26" t="s">
        <v>162</v>
      </c>
    </row>
    <row r="50" customFormat="false" ht="15" hidden="false" customHeight="true" outlineLevel="0" collapsed="false">
      <c r="A50" s="23" t="s">
        <v>163</v>
      </c>
      <c r="B50" s="24" t="s">
        <v>164</v>
      </c>
      <c r="C50" s="32" t="n">
        <f aca="false">Assumptions!B8</f>
        <v>0.02</v>
      </c>
      <c r="D50" s="26" t="s">
        <v>165</v>
      </c>
    </row>
    <row r="51" customFormat="false" ht="15" hidden="false" customHeight="true" outlineLevel="0" collapsed="false">
      <c r="A51" s="23" t="s">
        <v>166</v>
      </c>
      <c r="B51" s="24" t="s">
        <v>167</v>
      </c>
      <c r="C51" s="36" t="n">
        <f aca="false">Assumptions!B10</f>
        <v>10</v>
      </c>
      <c r="D51" s="26" t="s">
        <v>168</v>
      </c>
    </row>
    <row r="52" customFormat="false" ht="15" hidden="false" customHeight="true" outlineLevel="0" collapsed="false">
      <c r="A52" s="23" t="s">
        <v>169</v>
      </c>
      <c r="B52" s="24" t="s">
        <v>170</v>
      </c>
      <c r="C52" s="37" t="n">
        <f aca="false">Assumptions!B11</f>
        <v>6</v>
      </c>
      <c r="D52" s="26" t="s">
        <v>162</v>
      </c>
    </row>
    <row r="53" customFormat="false" ht="15" hidden="false" customHeight="true" outlineLevel="0" collapsed="false">
      <c r="A53" s="23" t="s">
        <v>171</v>
      </c>
      <c r="B53" s="24" t="s">
        <v>172</v>
      </c>
      <c r="C53" s="38" t="n">
        <f aca="false">Assumptions!B14</f>
        <v>10</v>
      </c>
      <c r="D53" s="26" t="s">
        <v>173</v>
      </c>
    </row>
    <row r="54" customFormat="false" ht="15" hidden="false" customHeight="true" outlineLevel="0" collapsed="false">
      <c r="A54" s="23" t="s">
        <v>174</v>
      </c>
      <c r="B54" s="24" t="s">
        <v>175</v>
      </c>
      <c r="C54" s="39" t="n">
        <f aca="false">Assumptions!B23</f>
        <v>7.5</v>
      </c>
      <c r="D54" s="26" t="s">
        <v>176</v>
      </c>
    </row>
    <row r="55" customFormat="false" ht="15" hidden="false" customHeight="true" outlineLevel="0" collapsed="false">
      <c r="A55" s="23" t="s">
        <v>177</v>
      </c>
      <c r="B55" s="24" t="s">
        <v>178</v>
      </c>
      <c r="C55" s="29" t="str">
        <f aca="false">Assumptions!B27&amp;" + "&amp;Assumptions!B50</f>
        <v>Lean + One at $20</v>
      </c>
      <c r="D55" s="26" t="s">
        <v>179</v>
      </c>
    </row>
    <row r="56" customFormat="false" ht="30" hidden="false" customHeight="true" outlineLevel="0" collapsed="false">
      <c r="A56" s="23" t="s">
        <v>180</v>
      </c>
      <c r="B56" s="24" t="s">
        <v>181</v>
      </c>
      <c r="D56" s="26" t="s">
        <v>182</v>
      </c>
    </row>
    <row r="58" customFormat="false" ht="15" hidden="false" customHeight="false" outlineLevel="0" collapsed="false">
      <c r="A58" s="22" t="s">
        <v>183</v>
      </c>
      <c r="B58" s="22"/>
      <c r="C58" s="22"/>
      <c r="D58" s="22"/>
    </row>
    <row r="59" customFormat="false" ht="15" hidden="false" customHeight="false" outlineLevel="0" collapsed="false">
      <c r="A59" s="4" t="s">
        <v>61</v>
      </c>
      <c r="B59" s="4" t="s">
        <v>62</v>
      </c>
      <c r="C59" s="4" t="s">
        <v>63</v>
      </c>
      <c r="D59" s="4" t="s">
        <v>64</v>
      </c>
    </row>
    <row r="60" customFormat="false" ht="15" hidden="false" customHeight="true" outlineLevel="0" collapsed="false">
      <c r="A60" s="23" t="s">
        <v>184</v>
      </c>
      <c r="B60" s="24" t="s">
        <v>185</v>
      </c>
      <c r="D60" s="26" t="s">
        <v>186</v>
      </c>
    </row>
    <row r="61" customFormat="false" ht="15" hidden="false" customHeight="true" outlineLevel="0" collapsed="false">
      <c r="A61" s="23" t="s">
        <v>187</v>
      </c>
      <c r="B61" s="24" t="s">
        <v>188</v>
      </c>
      <c r="D61" s="26"/>
    </row>
    <row r="62" customFormat="false" ht="30" hidden="false" customHeight="true" outlineLevel="0" collapsed="false">
      <c r="A62" s="23" t="s">
        <v>189</v>
      </c>
      <c r="B62" s="24" t="s">
        <v>190</v>
      </c>
      <c r="C62" s="29" t="str">
        <f aca="false">Checks!A18</f>
        <v>MODEL STATUS: PASS</v>
      </c>
      <c r="D62" s="26" t="s">
        <v>191</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8"/>
    <col collapsed="false" customWidth="true" hidden="false" outlineLevel="0" max="4" min="4" style="0" width="17"/>
    <col collapsed="false" customWidth="true" hidden="false" outlineLevel="0" max="5" min="5" style="0" width="45"/>
    <col collapsed="false" customWidth="true" hidden="false" outlineLevel="0" max="6" min="6" style="0" width="35"/>
  </cols>
  <sheetData>
    <row r="1" customFormat="false" ht="33.75" hidden="false" customHeight="true" outlineLevel="0" collapsed="false">
      <c r="A1" s="1" t="s">
        <v>192</v>
      </c>
      <c r="B1" s="1"/>
      <c r="C1" s="1"/>
      <c r="D1" s="1"/>
      <c r="E1" s="1"/>
      <c r="F1" s="1"/>
    </row>
    <row r="2" customFormat="false" ht="31.5" hidden="false" customHeight="true" outlineLevel="0" collapsed="false">
      <c r="A2" s="3" t="s">
        <v>193</v>
      </c>
      <c r="B2" s="3"/>
      <c r="C2" s="3"/>
      <c r="D2" s="3"/>
      <c r="E2" s="3"/>
      <c r="F2" s="3"/>
    </row>
    <row r="3" customFormat="false" ht="31.5" hidden="false" customHeight="true" outlineLevel="0" collapsed="false">
      <c r="A3" s="3"/>
      <c r="B3" s="3"/>
      <c r="C3" s="3"/>
      <c r="D3" s="3"/>
      <c r="E3" s="3"/>
      <c r="F3" s="3"/>
    </row>
    <row r="4" customFormat="false" ht="21.75" hidden="false" customHeight="true" outlineLevel="0" collapsed="false">
      <c r="A4" s="12" t="s">
        <v>194</v>
      </c>
      <c r="B4" s="12"/>
      <c r="C4" s="12"/>
      <c r="D4" s="12"/>
      <c r="E4" s="12"/>
      <c r="F4" s="12"/>
    </row>
    <row r="5" customFormat="false" ht="25.5" hidden="false" customHeight="true" outlineLevel="0" collapsed="false">
      <c r="A5" s="4" t="s">
        <v>195</v>
      </c>
      <c r="B5" s="4" t="s">
        <v>196</v>
      </c>
      <c r="C5" s="4" t="s">
        <v>197</v>
      </c>
      <c r="D5" s="4" t="s">
        <v>198</v>
      </c>
      <c r="E5" s="4" t="s">
        <v>199</v>
      </c>
      <c r="F5" s="4" t="s">
        <v>200</v>
      </c>
    </row>
    <row r="6" customFormat="false" ht="15" hidden="false" customHeight="false" outlineLevel="0" collapsed="false">
      <c r="A6" s="13" t="s">
        <v>201</v>
      </c>
      <c r="B6" s="40" t="n">
        <v>46266</v>
      </c>
      <c r="C6" s="13" t="s">
        <v>202</v>
      </c>
      <c r="D6" s="13" t="s">
        <v>203</v>
      </c>
      <c r="E6" s="13" t="s">
        <v>204</v>
      </c>
      <c r="F6" s="13" t="s">
        <v>205</v>
      </c>
    </row>
    <row r="7" customFormat="false" ht="15" hidden="false" customHeight="false" outlineLevel="0" collapsed="false">
      <c r="A7" s="15" t="s">
        <v>206</v>
      </c>
      <c r="B7" s="41" t="n">
        <f aca="false">COLUMNS('Forecast 12M'!B3:M3)</f>
        <v>12</v>
      </c>
      <c r="C7" s="15" t="s">
        <v>207</v>
      </c>
      <c r="D7" s="15" t="s">
        <v>208</v>
      </c>
      <c r="E7" s="15" t="s">
        <v>209</v>
      </c>
      <c r="F7" s="15" t="s">
        <v>210</v>
      </c>
    </row>
    <row r="8" customFormat="false" ht="15" hidden="false" customHeight="false" outlineLevel="0" collapsed="false">
      <c r="A8" s="15" t="s">
        <v>163</v>
      </c>
      <c r="B8" s="42" t="n">
        <v>0.02</v>
      </c>
      <c r="C8" s="15" t="s">
        <v>211</v>
      </c>
      <c r="D8" s="15" t="s">
        <v>203</v>
      </c>
      <c r="E8" s="15" t="s">
        <v>212</v>
      </c>
      <c r="F8" s="15" t="s">
        <v>213</v>
      </c>
    </row>
    <row r="9" customFormat="false" ht="15" hidden="false" customHeight="false" outlineLevel="0" collapsed="false">
      <c r="A9" s="15" t="s">
        <v>214</v>
      </c>
      <c r="B9" s="43" t="n">
        <v>500</v>
      </c>
      <c r="C9" s="15" t="s">
        <v>215</v>
      </c>
      <c r="D9" s="15" t="s">
        <v>203</v>
      </c>
      <c r="E9" s="15" t="s">
        <v>216</v>
      </c>
      <c r="F9" s="15" t="s">
        <v>217</v>
      </c>
    </row>
    <row r="10" customFormat="false" ht="15" hidden="false" customHeight="false" outlineLevel="0" collapsed="false">
      <c r="A10" s="15" t="s">
        <v>218</v>
      </c>
      <c r="B10" s="41" t="n">
        <f aca="false">B8*B9</f>
        <v>10</v>
      </c>
      <c r="C10" s="15" t="s">
        <v>215</v>
      </c>
      <c r="D10" s="15" t="s">
        <v>208</v>
      </c>
      <c r="E10" s="15" t="s">
        <v>219</v>
      </c>
      <c r="F10" s="15" t="s">
        <v>220</v>
      </c>
    </row>
    <row r="11" customFormat="false" ht="15" hidden="false" customHeight="false" outlineLevel="0" collapsed="false">
      <c r="A11" s="15" t="s">
        <v>169</v>
      </c>
      <c r="B11" s="43" t="n">
        <v>6</v>
      </c>
      <c r="C11" s="15" t="s">
        <v>207</v>
      </c>
      <c r="D11" s="15" t="s">
        <v>203</v>
      </c>
      <c r="E11" s="15" t="s">
        <v>212</v>
      </c>
      <c r="F11" s="15" t="s">
        <v>221</v>
      </c>
    </row>
    <row r="12" customFormat="false" ht="15" hidden="false" customHeight="false" outlineLevel="0" collapsed="false">
      <c r="A12" s="15" t="s">
        <v>222</v>
      </c>
      <c r="B12" s="43" t="n">
        <v>1</v>
      </c>
      <c r="C12" s="15" t="s">
        <v>207</v>
      </c>
      <c r="D12" s="15" t="s">
        <v>203</v>
      </c>
      <c r="E12" s="15" t="s">
        <v>223</v>
      </c>
      <c r="F12" s="15" t="s">
        <v>224</v>
      </c>
    </row>
    <row r="13" customFormat="false" ht="15" hidden="false" customHeight="false" outlineLevel="0" collapsed="false">
      <c r="A13" s="15" t="s">
        <v>20</v>
      </c>
      <c r="B13" s="44" t="n">
        <v>10</v>
      </c>
      <c r="C13" s="15" t="s">
        <v>225</v>
      </c>
      <c r="D13" s="15" t="s">
        <v>203</v>
      </c>
      <c r="E13" s="15" t="s">
        <v>226</v>
      </c>
      <c r="F13" s="15" t="s">
        <v>227</v>
      </c>
    </row>
    <row r="14" customFormat="false" ht="15" hidden="false" customHeight="false" outlineLevel="0" collapsed="false">
      <c r="A14" s="15" t="s">
        <v>228</v>
      </c>
      <c r="B14" s="43" t="n">
        <v>10</v>
      </c>
      <c r="C14" s="15" t="s">
        <v>229</v>
      </c>
      <c r="D14" s="15" t="s">
        <v>203</v>
      </c>
      <c r="E14" s="15" t="s">
        <v>230</v>
      </c>
      <c r="F14" s="15" t="s">
        <v>231</v>
      </c>
    </row>
    <row r="15" customFormat="false" ht="15" hidden="false" customHeight="false" outlineLevel="0" collapsed="false">
      <c r="A15" s="15" t="s">
        <v>232</v>
      </c>
      <c r="B15" s="43" t="n">
        <v>2500</v>
      </c>
      <c r="C15" s="15" t="s">
        <v>233</v>
      </c>
      <c r="D15" s="15" t="s">
        <v>203</v>
      </c>
      <c r="E15" s="15" t="s">
        <v>234</v>
      </c>
      <c r="F15" s="15" t="s">
        <v>235</v>
      </c>
    </row>
    <row r="16" customFormat="false" ht="15" hidden="false" customHeight="false" outlineLevel="0" collapsed="false">
      <c r="A16" s="15" t="s">
        <v>236</v>
      </c>
      <c r="B16" s="43" t="n">
        <v>200</v>
      </c>
      <c r="C16" s="15" t="s">
        <v>233</v>
      </c>
      <c r="D16" s="15" t="s">
        <v>203</v>
      </c>
      <c r="E16" s="15" t="s">
        <v>237</v>
      </c>
      <c r="F16" s="15" t="s">
        <v>238</v>
      </c>
    </row>
    <row r="17" customFormat="false" ht="15" hidden="false" customHeight="false" outlineLevel="0" collapsed="false">
      <c r="A17" s="15" t="s">
        <v>239</v>
      </c>
      <c r="B17" s="42" t="n">
        <v>0.029</v>
      </c>
      <c r="C17" s="15" t="s">
        <v>240</v>
      </c>
      <c r="D17" s="15" t="s">
        <v>241</v>
      </c>
      <c r="E17" s="15" t="s">
        <v>242</v>
      </c>
      <c r="F17" s="15" t="s">
        <v>243</v>
      </c>
    </row>
    <row r="18" customFormat="false" ht="15" hidden="false" customHeight="false" outlineLevel="0" collapsed="false">
      <c r="A18" s="15" t="s">
        <v>244</v>
      </c>
      <c r="B18" s="44" t="n">
        <v>0.3</v>
      </c>
      <c r="C18" s="15" t="s">
        <v>245</v>
      </c>
      <c r="D18" s="15" t="s">
        <v>241</v>
      </c>
      <c r="E18" s="15" t="s">
        <v>242</v>
      </c>
      <c r="F18" s="15" t="s">
        <v>246</v>
      </c>
    </row>
    <row r="19" customFormat="false" ht="15" hidden="false" customHeight="false" outlineLevel="0" collapsed="false">
      <c r="A19" s="15" t="s">
        <v>247</v>
      </c>
      <c r="B19" s="42" t="n">
        <v>0.007</v>
      </c>
      <c r="C19" s="15" t="s">
        <v>248</v>
      </c>
      <c r="D19" s="15" t="s">
        <v>241</v>
      </c>
      <c r="E19" s="15" t="s">
        <v>249</v>
      </c>
      <c r="F19" s="15"/>
    </row>
    <row r="20" customFormat="false" ht="15" hidden="false" customHeight="false" outlineLevel="0" collapsed="false">
      <c r="A20" s="15" t="s">
        <v>250</v>
      </c>
      <c r="B20" s="44" t="n">
        <v>0.75</v>
      </c>
      <c r="C20" s="15" t="s">
        <v>251</v>
      </c>
      <c r="D20" s="15" t="s">
        <v>241</v>
      </c>
      <c r="E20" s="15" t="s">
        <v>252</v>
      </c>
      <c r="F20" s="15"/>
    </row>
    <row r="21" customFormat="false" ht="15" hidden="false" customHeight="false" outlineLevel="0" collapsed="false">
      <c r="A21" s="15" t="s">
        <v>253</v>
      </c>
      <c r="B21" s="44" t="n">
        <v>3.75</v>
      </c>
      <c r="C21" s="15" t="s">
        <v>251</v>
      </c>
      <c r="D21" s="15" t="s">
        <v>241</v>
      </c>
      <c r="E21" s="15" t="s">
        <v>254</v>
      </c>
      <c r="F21" s="15"/>
    </row>
    <row r="22" customFormat="false" ht="15" hidden="false" customHeight="false" outlineLevel="0" collapsed="false">
      <c r="A22" s="15" t="s">
        <v>255</v>
      </c>
      <c r="B22" s="44" t="n">
        <v>1.5</v>
      </c>
      <c r="C22" s="15" t="s">
        <v>251</v>
      </c>
      <c r="D22" s="15" t="s">
        <v>241</v>
      </c>
      <c r="E22" s="15" t="s">
        <v>256</v>
      </c>
      <c r="F22" s="15"/>
    </row>
    <row r="23" customFormat="false" ht="15" hidden="false" customHeight="false" outlineLevel="0" collapsed="false">
      <c r="A23" s="15" t="s">
        <v>257</v>
      </c>
      <c r="B23" s="44" t="n">
        <v>7.5</v>
      </c>
      <c r="C23" s="15" t="s">
        <v>251</v>
      </c>
      <c r="D23" s="15" t="s">
        <v>241</v>
      </c>
      <c r="E23" s="15" t="s">
        <v>258</v>
      </c>
      <c r="F23" s="15"/>
    </row>
    <row r="24" customFormat="false" ht="15" hidden="false" customHeight="false" outlineLevel="0" collapsed="false">
      <c r="A24" s="15" t="s">
        <v>259</v>
      </c>
      <c r="B24" s="45" t="n">
        <v>46388</v>
      </c>
      <c r="C24" s="15" t="s">
        <v>260</v>
      </c>
      <c r="D24" s="15" t="s">
        <v>241</v>
      </c>
      <c r="E24" s="15" t="s">
        <v>261</v>
      </c>
      <c r="F24" s="15"/>
    </row>
    <row r="25" customFormat="false" ht="15" hidden="false" customHeight="false" outlineLevel="0" collapsed="false">
      <c r="A25" s="15" t="s">
        <v>262</v>
      </c>
      <c r="B25" s="46" t="n">
        <f aca="false">SUM('Stack Comparison'!C7:C17)</f>
        <v>45</v>
      </c>
      <c r="C25" s="15" t="s">
        <v>263</v>
      </c>
      <c r="D25" s="15" t="s">
        <v>208</v>
      </c>
      <c r="E25" s="15" t="s">
        <v>264</v>
      </c>
      <c r="F25" s="15" t="s">
        <v>265</v>
      </c>
    </row>
    <row r="26" customFormat="false" ht="15" hidden="false" customHeight="false" outlineLevel="0" collapsed="false">
      <c r="A26" s="15" t="s">
        <v>266</v>
      </c>
      <c r="B26" s="46" t="n">
        <f aca="false">SUM('Stack Comparison'!D7:D17)</f>
        <v>71</v>
      </c>
      <c r="C26" s="15" t="s">
        <v>263</v>
      </c>
      <c r="D26" s="15" t="s">
        <v>208</v>
      </c>
      <c r="E26" s="15" t="s">
        <v>267</v>
      </c>
      <c r="F26" s="15" t="s">
        <v>268</v>
      </c>
    </row>
    <row r="27" customFormat="false" ht="15" hidden="false" customHeight="false" outlineLevel="0" collapsed="false">
      <c r="A27" s="15" t="s">
        <v>269</v>
      </c>
      <c r="B27" s="43" t="s">
        <v>270</v>
      </c>
      <c r="C27" s="15" t="s">
        <v>271</v>
      </c>
      <c r="D27" s="15" t="s">
        <v>203</v>
      </c>
      <c r="E27" s="15" t="s">
        <v>272</v>
      </c>
      <c r="F27" s="15" t="s">
        <v>273</v>
      </c>
    </row>
    <row r="28" customFormat="false" ht="15" hidden="false" customHeight="false" outlineLevel="0" collapsed="false">
      <c r="A28" s="15" t="s">
        <v>274</v>
      </c>
      <c r="B28" s="46" t="n">
        <f aca="false">IF(B27="Monitored",B26,B25)+B51</f>
        <v>65</v>
      </c>
      <c r="C28" s="15" t="s">
        <v>263</v>
      </c>
      <c r="D28" s="15" t="s">
        <v>208</v>
      </c>
      <c r="E28" s="15" t="s">
        <v>275</v>
      </c>
      <c r="F28" s="15" t="s">
        <v>220</v>
      </c>
    </row>
    <row r="29" customFormat="false" ht="15" hidden="false" customHeight="false" outlineLevel="0" collapsed="false">
      <c r="A29" s="15" t="s">
        <v>276</v>
      </c>
      <c r="B29" s="43" t="s">
        <v>10</v>
      </c>
      <c r="C29" s="15" t="s">
        <v>277</v>
      </c>
      <c r="D29" s="15" t="s">
        <v>203</v>
      </c>
      <c r="E29" s="15" t="s">
        <v>278</v>
      </c>
      <c r="F29" s="15" t="s">
        <v>279</v>
      </c>
    </row>
    <row r="30" customFormat="false" ht="15" hidden="false" customHeight="false" outlineLevel="0" collapsed="false">
      <c r="A30" s="15" t="s">
        <v>280</v>
      </c>
      <c r="B30" s="46" t="n">
        <f aca="false">(B13-(B13*B17+B18+B13*B19)-B14*(B15/1000000*B22+B16/1000000*B23))*B11/3</f>
        <v>18.575</v>
      </c>
      <c r="C30" s="15" t="s">
        <v>281</v>
      </c>
      <c r="D30" s="15" t="s">
        <v>208</v>
      </c>
      <c r="E30" s="15" t="s">
        <v>282</v>
      </c>
      <c r="F30" s="15" t="s">
        <v>283</v>
      </c>
    </row>
    <row r="31" customFormat="false" ht="15" hidden="false" customHeight="false" outlineLevel="0" collapsed="false">
      <c r="A31" s="17" t="s">
        <v>284</v>
      </c>
      <c r="B31" s="47" t="n">
        <v>0</v>
      </c>
      <c r="C31" s="17" t="s">
        <v>285</v>
      </c>
      <c r="D31" s="17" t="s">
        <v>203</v>
      </c>
      <c r="E31" s="17" t="s">
        <v>286</v>
      </c>
      <c r="F31" s="17" t="s">
        <v>287</v>
      </c>
    </row>
    <row r="32" customFormat="false" ht="15" hidden="false" customHeight="false" outlineLevel="0" collapsed="false">
      <c r="A32" s="17" t="s">
        <v>288</v>
      </c>
      <c r="B32" s="48" t="n">
        <v>10</v>
      </c>
      <c r="C32" s="17" t="s">
        <v>289</v>
      </c>
      <c r="D32" s="17" t="s">
        <v>241</v>
      </c>
      <c r="E32" s="17" t="s">
        <v>290</v>
      </c>
      <c r="F32" s="17" t="s">
        <v>291</v>
      </c>
    </row>
    <row r="33" customFormat="false" ht="15" hidden="false" customHeight="false" outlineLevel="0" collapsed="false">
      <c r="A33" s="17" t="s">
        <v>292</v>
      </c>
      <c r="B33" s="48" t="n">
        <v>1000</v>
      </c>
      <c r="C33" s="17" t="s">
        <v>233</v>
      </c>
      <c r="D33" s="17" t="s">
        <v>203</v>
      </c>
      <c r="E33" s="17" t="s">
        <v>293</v>
      </c>
      <c r="F33" s="17" t="s">
        <v>294</v>
      </c>
    </row>
    <row r="34" customFormat="false" ht="21.75" hidden="false" customHeight="true" outlineLevel="0" collapsed="false">
      <c r="A34" s="12" t="s">
        <v>295</v>
      </c>
      <c r="B34" s="12"/>
      <c r="C34" s="12"/>
      <c r="D34" s="12"/>
      <c r="E34" s="12"/>
      <c r="F34" s="12"/>
    </row>
    <row r="35" customFormat="false" ht="25.5" hidden="false" customHeight="true" outlineLevel="0" collapsed="false">
      <c r="A35" s="4" t="s">
        <v>195</v>
      </c>
      <c r="B35" s="4" t="s">
        <v>296</v>
      </c>
      <c r="C35" s="4" t="s">
        <v>297</v>
      </c>
      <c r="D35" s="4" t="s">
        <v>298</v>
      </c>
      <c r="E35" s="4" t="s">
        <v>299</v>
      </c>
      <c r="F35" s="4" t="s">
        <v>300</v>
      </c>
    </row>
    <row r="36" customFormat="false" ht="15" hidden="false" customHeight="false" outlineLevel="0" collapsed="false">
      <c r="A36" s="13" t="s">
        <v>20</v>
      </c>
      <c r="B36" s="49" t="n">
        <v>7.99</v>
      </c>
      <c r="C36" s="49" t="n">
        <v>14.99</v>
      </c>
      <c r="D36" s="49" t="n">
        <v>7.99</v>
      </c>
      <c r="E36" s="49" t="n">
        <f aca="false">Assumptions!B13</f>
        <v>10</v>
      </c>
      <c r="F36" s="13" t="s">
        <v>301</v>
      </c>
    </row>
    <row r="37" customFormat="false" ht="15" hidden="false" customHeight="false" outlineLevel="0" collapsed="false">
      <c r="A37" s="15" t="s">
        <v>302</v>
      </c>
      <c r="B37" s="50" t="n">
        <v>0.02</v>
      </c>
      <c r="C37" s="50" t="n">
        <v>0.02</v>
      </c>
      <c r="D37" s="50" t="n">
        <v>0.02</v>
      </c>
      <c r="E37" s="50" t="n">
        <f aca="false">Assumptions!B8</f>
        <v>0.02</v>
      </c>
      <c r="F37" s="15" t="s">
        <v>303</v>
      </c>
    </row>
    <row r="38" customFormat="false" ht="15" hidden="false" customHeight="false" outlineLevel="0" collapsed="false">
      <c r="A38" s="15" t="s">
        <v>218</v>
      </c>
      <c r="B38" s="15" t="n">
        <v>10</v>
      </c>
      <c r="C38" s="15" t="n">
        <v>10</v>
      </c>
      <c r="D38" s="15" t="n">
        <v>10</v>
      </c>
      <c r="E38" s="15" t="n">
        <f aca="false">Assumptions!B10</f>
        <v>10</v>
      </c>
      <c r="F38" s="15" t="s">
        <v>304</v>
      </c>
    </row>
    <row r="39" customFormat="false" ht="15" hidden="false" customHeight="false" outlineLevel="0" collapsed="false">
      <c r="A39" s="15" t="s">
        <v>305</v>
      </c>
      <c r="B39" s="15" t="n">
        <v>6</v>
      </c>
      <c r="C39" s="15" t="n">
        <v>6</v>
      </c>
      <c r="D39" s="15" t="n">
        <v>6</v>
      </c>
      <c r="E39" s="15" t="n">
        <f aca="false">Assumptions!B11</f>
        <v>6</v>
      </c>
      <c r="F39" s="15" t="s">
        <v>303</v>
      </c>
    </row>
    <row r="40" customFormat="false" ht="15" hidden="false" customHeight="false" outlineLevel="0" collapsed="false">
      <c r="A40" s="15" t="s">
        <v>24</v>
      </c>
      <c r="B40" s="51" t="n">
        <v>25</v>
      </c>
      <c r="C40" s="51" t="n">
        <v>94</v>
      </c>
      <c r="D40" s="51" t="n">
        <v>45</v>
      </c>
      <c r="E40" s="51" t="n">
        <f aca="false">Assumptions!B25</f>
        <v>45</v>
      </c>
      <c r="F40" s="15" t="s">
        <v>306</v>
      </c>
    </row>
    <row r="41" customFormat="false" ht="15" hidden="false" customHeight="false" outlineLevel="0" collapsed="false">
      <c r="A41" s="17" t="s">
        <v>8</v>
      </c>
      <c r="B41" s="52" t="n">
        <v>7.1</v>
      </c>
      <c r="C41" s="52" t="n">
        <v>9.48</v>
      </c>
      <c r="D41" s="52" t="n">
        <v>5.54</v>
      </c>
      <c r="E41" s="52" t="n">
        <f aca="false">'Unit Economics'!B11</f>
        <v>9.2875</v>
      </c>
      <c r="F41" s="17" t="s">
        <v>307</v>
      </c>
    </row>
    <row r="43" customFormat="false" ht="15" hidden="false" customHeight="false" outlineLevel="0" collapsed="false">
      <c r="A43" s="22" t="s">
        <v>308</v>
      </c>
      <c r="B43" s="22"/>
      <c r="C43" s="22"/>
      <c r="D43" s="22"/>
      <c r="E43" s="22"/>
      <c r="F43" s="22"/>
    </row>
    <row r="44" customFormat="false" ht="15" hidden="false" customHeight="false" outlineLevel="0" collapsed="false">
      <c r="A44" s="4" t="s">
        <v>195</v>
      </c>
      <c r="B44" s="4" t="s">
        <v>196</v>
      </c>
      <c r="C44" s="4" t="s">
        <v>197</v>
      </c>
      <c r="D44" s="4" t="s">
        <v>198</v>
      </c>
      <c r="E44" s="4" t="s">
        <v>199</v>
      </c>
      <c r="F44" s="4" t="s">
        <v>200</v>
      </c>
    </row>
    <row r="45" customFormat="false" ht="15" hidden="false" customHeight="false" outlineLevel="0" collapsed="false">
      <c r="A45" s="17" t="s">
        <v>309</v>
      </c>
      <c r="B45" s="44" t="n">
        <v>100</v>
      </c>
      <c r="C45" s="17" t="s">
        <v>263</v>
      </c>
      <c r="D45" s="17" t="s">
        <v>203</v>
      </c>
      <c r="E45" s="17" t="s">
        <v>310</v>
      </c>
      <c r="F45" s="17" t="s">
        <v>311</v>
      </c>
    </row>
    <row r="46" customFormat="false" ht="15" hidden="false" customHeight="false" outlineLevel="0" collapsed="false">
      <c r="A46" s="17" t="s">
        <v>312</v>
      </c>
      <c r="B46" s="44" t="n">
        <v>100</v>
      </c>
      <c r="C46" s="17" t="s">
        <v>263</v>
      </c>
      <c r="D46" s="17" t="s">
        <v>203</v>
      </c>
      <c r="E46" s="17" t="s">
        <v>310</v>
      </c>
      <c r="F46" s="17" t="s">
        <v>311</v>
      </c>
    </row>
    <row r="47" customFormat="false" ht="15" hidden="false" customHeight="false" outlineLevel="0" collapsed="false">
      <c r="A47" s="17" t="s">
        <v>313</v>
      </c>
      <c r="B47" s="46" t="n">
        <f aca="false">B45+B46</f>
        <v>200</v>
      </c>
      <c r="C47" s="17" t="s">
        <v>263</v>
      </c>
      <c r="D47" s="17" t="s">
        <v>208</v>
      </c>
      <c r="E47" s="17" t="s">
        <v>314</v>
      </c>
      <c r="F47" s="17" t="s">
        <v>315</v>
      </c>
    </row>
    <row r="48" customFormat="false" ht="15" hidden="false" customHeight="false" outlineLevel="0" collapsed="false">
      <c r="A48" s="17" t="s">
        <v>316</v>
      </c>
      <c r="B48" s="44" t="n">
        <v>40</v>
      </c>
      <c r="C48" s="17" t="s">
        <v>263</v>
      </c>
      <c r="D48" s="17" t="s">
        <v>203</v>
      </c>
      <c r="E48" s="17" t="s">
        <v>310</v>
      </c>
      <c r="F48" s="17" t="s">
        <v>317</v>
      </c>
    </row>
    <row r="49" customFormat="false" ht="15" hidden="false" customHeight="false" outlineLevel="0" collapsed="false">
      <c r="A49" s="17" t="s">
        <v>318</v>
      </c>
      <c r="B49" s="44" t="n">
        <v>20</v>
      </c>
      <c r="C49" s="17" t="s">
        <v>263</v>
      </c>
      <c r="D49" s="17" t="s">
        <v>203</v>
      </c>
      <c r="E49" s="17" t="s">
        <v>310</v>
      </c>
      <c r="F49" s="17" t="s">
        <v>319</v>
      </c>
    </row>
    <row r="50" customFormat="false" ht="15" hidden="false" customHeight="false" outlineLevel="0" collapsed="false">
      <c r="A50" s="17" t="s">
        <v>320</v>
      </c>
      <c r="B50" s="43" t="s">
        <v>321</v>
      </c>
      <c r="C50" s="17" t="s">
        <v>322</v>
      </c>
      <c r="D50" s="17" t="s">
        <v>203</v>
      </c>
      <c r="E50" s="17" t="s">
        <v>323</v>
      </c>
      <c r="F50" s="17" t="s">
        <v>273</v>
      </c>
    </row>
    <row r="51" customFormat="false" ht="15" hidden="false" customHeight="false" outlineLevel="0" collapsed="false">
      <c r="A51" s="17" t="s">
        <v>324</v>
      </c>
      <c r="B51" s="46" t="n">
        <f aca="false">IF(B50="Exclude",0,IF(B50="One at $20",B49,IF(B50="Two at $20",B48,B47)))</f>
        <v>20</v>
      </c>
      <c r="C51" s="17" t="s">
        <v>263</v>
      </c>
      <c r="D51" s="17" t="s">
        <v>208</v>
      </c>
      <c r="E51" s="17" t="s">
        <v>325</v>
      </c>
      <c r="F51" s="17" t="s">
        <v>220</v>
      </c>
    </row>
    <row r="53" customFormat="false" ht="15" hidden="false" customHeight="false" outlineLevel="0" collapsed="false">
      <c r="A53" s="22" t="s">
        <v>326</v>
      </c>
      <c r="B53" s="22"/>
      <c r="C53" s="22"/>
      <c r="D53" s="22"/>
      <c r="E53" s="22"/>
      <c r="F53" s="22"/>
    </row>
    <row r="54" customFormat="false" ht="15" hidden="false" customHeight="false" outlineLevel="0" collapsed="false">
      <c r="A54" s="4" t="s">
        <v>195</v>
      </c>
      <c r="B54" s="4" t="s">
        <v>196</v>
      </c>
      <c r="C54" s="4" t="s">
        <v>197</v>
      </c>
      <c r="D54" s="4" t="s">
        <v>198</v>
      </c>
      <c r="E54" s="4" t="s">
        <v>199</v>
      </c>
      <c r="F54" s="4" t="s">
        <v>200</v>
      </c>
    </row>
    <row r="55" customFormat="false" ht="15" hidden="false" customHeight="false" outlineLevel="0" collapsed="false">
      <c r="A55" s="17" t="s">
        <v>327</v>
      </c>
      <c r="B55" s="53" t="n">
        <v>31</v>
      </c>
      <c r="C55" s="17" t="s">
        <v>328</v>
      </c>
      <c r="D55" s="17" t="s">
        <v>203</v>
      </c>
      <c r="E55" s="17" t="s">
        <v>329</v>
      </c>
      <c r="F55" s="17" t="s">
        <v>330</v>
      </c>
    </row>
    <row r="56" customFormat="false" ht="15" hidden="false" customHeight="false" outlineLevel="0" collapsed="false">
      <c r="A56" s="17" t="s">
        <v>331</v>
      </c>
      <c r="B56" s="53" t="n">
        <v>1</v>
      </c>
      <c r="C56" s="17" t="s">
        <v>332</v>
      </c>
      <c r="D56" s="17" t="s">
        <v>203</v>
      </c>
      <c r="E56" s="17" t="s">
        <v>333</v>
      </c>
      <c r="F56" s="17" t="s">
        <v>334</v>
      </c>
    </row>
    <row r="57" customFormat="false" ht="15" hidden="false" customHeight="false" outlineLevel="0" collapsed="false">
      <c r="A57" s="17" t="s">
        <v>335</v>
      </c>
      <c r="B57" s="53" t="n">
        <v>2</v>
      </c>
      <c r="C57" s="17" t="s">
        <v>332</v>
      </c>
      <c r="D57" s="17" t="s">
        <v>241</v>
      </c>
      <c r="E57" s="17" t="s">
        <v>336</v>
      </c>
      <c r="F57" s="17" t="s">
        <v>337</v>
      </c>
    </row>
  </sheetData>
  <mergeCells count="4">
    <mergeCell ref="A1:F1"/>
    <mergeCell ref="A2:F3"/>
    <mergeCell ref="A4:F4"/>
    <mergeCell ref="A34:F34"/>
  </mergeCells>
  <dataValidations count="2">
    <dataValidation allowBlank="false" errorStyle="stop" operator="between" showDropDown="false" showErrorMessage="false" showInputMessage="false" sqref="B27" type="list">
      <formula1>"Lean,Monitored"</formula1>
      <formula2>0</formula2>
    </dataValidation>
    <dataValidation allowBlank="false" errorStyle="stop" operator="between" showDropDown="false" showErrorMessage="false" showInputMessage="false" sqref="B50" type="list">
      <formula1>"Pre-launch,Two at $20,One at $20,Exclude"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 collapsed="false" customWidth="true" hidden="false" outlineLevel="0" max="5" min="5" style="0" width="19"/>
    <col collapsed="false" customWidth="true" hidden="false" outlineLevel="0" max="6" min="6" style="0" width="36"/>
    <col collapsed="false" customWidth="true" hidden="false" outlineLevel="0" max="7" min="7" style="0" width="48"/>
    <col collapsed="false" customWidth="true" hidden="false" outlineLevel="0" max="8" min="8" style="0" width="3"/>
    <col collapsed="false" customWidth="true" hidden="false" outlineLevel="0" max="9" min="9" style="0" width="25"/>
    <col collapsed="false" customWidth="true" hidden="false" outlineLevel="0" max="12" min="10" style="0" width="17"/>
  </cols>
  <sheetData>
    <row r="1" customFormat="false" ht="33.75" hidden="false" customHeight="true" outlineLevel="0" collapsed="false">
      <c r="A1" s="1" t="s">
        <v>338</v>
      </c>
      <c r="B1" s="1"/>
      <c r="C1" s="1"/>
      <c r="D1" s="1"/>
      <c r="E1" s="1"/>
      <c r="F1" s="1"/>
      <c r="G1" s="1"/>
      <c r="H1" s="2"/>
      <c r="I1" s="2"/>
      <c r="J1" s="2"/>
      <c r="K1" s="2"/>
      <c r="L1" s="2"/>
    </row>
    <row r="2" customFormat="false" ht="31.5" hidden="false" customHeight="true" outlineLevel="0" collapsed="false">
      <c r="A2" s="3" t="s">
        <v>339</v>
      </c>
      <c r="B2" s="3"/>
      <c r="C2" s="3"/>
      <c r="D2" s="3"/>
      <c r="E2" s="3"/>
      <c r="F2" s="3"/>
      <c r="G2" s="3"/>
      <c r="H2" s="2"/>
      <c r="I2" s="2"/>
      <c r="J2" s="2"/>
      <c r="K2" s="2"/>
      <c r="L2" s="2"/>
    </row>
    <row r="3" customFormat="false" ht="31.5" hidden="false" customHeight="true" outlineLevel="0" collapsed="false">
      <c r="A3" s="3"/>
      <c r="B3" s="3"/>
      <c r="C3" s="3"/>
      <c r="D3" s="3"/>
      <c r="E3" s="3"/>
      <c r="F3" s="3"/>
      <c r="G3" s="3"/>
      <c r="H3" s="2"/>
      <c r="I3" s="2"/>
      <c r="J3" s="2"/>
      <c r="K3" s="2"/>
      <c r="L3" s="2"/>
    </row>
    <row r="4" customFormat="false" ht="25.5" hidden="false" customHeight="true" outlineLevel="0" collapsed="false">
      <c r="A4" s="54" t="s">
        <v>340</v>
      </c>
      <c r="B4" s="54"/>
      <c r="C4" s="54"/>
      <c r="D4" s="54"/>
      <c r="E4" s="54"/>
      <c r="F4" s="54"/>
      <c r="G4" s="54"/>
      <c r="H4" s="2"/>
      <c r="I4" s="4" t="s">
        <v>341</v>
      </c>
      <c r="J4" s="4" t="s">
        <v>3</v>
      </c>
      <c r="K4" s="4" t="s">
        <v>14</v>
      </c>
      <c r="L4" s="4" t="s">
        <v>15</v>
      </c>
    </row>
    <row r="5" customFormat="false" ht="15" hidden="false" customHeight="false" outlineLevel="0" collapsed="false">
      <c r="A5" s="54"/>
      <c r="B5" s="54"/>
      <c r="C5" s="54"/>
      <c r="D5" s="54"/>
      <c r="E5" s="54"/>
      <c r="F5" s="54"/>
      <c r="G5" s="54"/>
      <c r="H5" s="2"/>
      <c r="I5" s="2" t="s">
        <v>342</v>
      </c>
      <c r="J5" s="6" t="n">
        <v>94</v>
      </c>
      <c r="K5" s="6" t="n">
        <v>45</v>
      </c>
      <c r="L5" s="6" t="n">
        <v>71</v>
      </c>
    </row>
    <row r="6" customFormat="false" ht="25.5" hidden="false" customHeight="true" outlineLevel="0" collapsed="false">
      <c r="A6" s="4" t="s">
        <v>343</v>
      </c>
      <c r="B6" s="4" t="s">
        <v>49</v>
      </c>
      <c r="C6" s="4" t="s">
        <v>14</v>
      </c>
      <c r="D6" s="4" t="s">
        <v>15</v>
      </c>
      <c r="E6" s="4" t="s">
        <v>344</v>
      </c>
      <c r="F6" s="4" t="s">
        <v>345</v>
      </c>
      <c r="G6" s="4" t="s">
        <v>346</v>
      </c>
      <c r="H6" s="2"/>
      <c r="I6" s="2" t="s">
        <v>347</v>
      </c>
      <c r="J6" s="6" t="n">
        <v>0</v>
      </c>
      <c r="K6" s="6" t="n">
        <v>49</v>
      </c>
      <c r="L6" s="6" t="n">
        <v>23</v>
      </c>
    </row>
    <row r="7" customFormat="false" ht="15" hidden="false" customHeight="false" outlineLevel="0" collapsed="false">
      <c r="A7" s="13" t="s">
        <v>348</v>
      </c>
      <c r="B7" s="49" t="n">
        <v>25</v>
      </c>
      <c r="C7" s="49" t="n">
        <v>25</v>
      </c>
      <c r="D7" s="49" t="n">
        <v>25</v>
      </c>
      <c r="E7" s="13" t="s">
        <v>349</v>
      </c>
      <c r="F7" s="13" t="s">
        <v>350</v>
      </c>
      <c r="G7" s="13" t="s">
        <v>351</v>
      </c>
      <c r="H7" s="2"/>
      <c r="I7" s="2" t="s">
        <v>352</v>
      </c>
      <c r="J7" s="6" t="n">
        <v>0</v>
      </c>
      <c r="K7" s="6" t="n">
        <v>7</v>
      </c>
      <c r="L7" s="6" t="n">
        <v>7</v>
      </c>
    </row>
    <row r="8" customFormat="false" ht="15" hidden="false" customHeight="false" outlineLevel="0" collapsed="false">
      <c r="A8" s="15" t="s">
        <v>353</v>
      </c>
      <c r="B8" s="51" t="n">
        <v>20</v>
      </c>
      <c r="C8" s="51" t="n">
        <v>20</v>
      </c>
      <c r="D8" s="51" t="n">
        <v>20</v>
      </c>
      <c r="E8" s="15" t="s">
        <v>349</v>
      </c>
      <c r="F8" s="15" t="s">
        <v>354</v>
      </c>
      <c r="G8" s="15" t="s">
        <v>355</v>
      </c>
      <c r="H8" s="2"/>
      <c r="I8" s="2" t="s">
        <v>356</v>
      </c>
      <c r="J8" s="6" t="n">
        <v>94</v>
      </c>
      <c r="K8" s="6" t="n">
        <v>52</v>
      </c>
      <c r="L8" s="6" t="n">
        <v>78</v>
      </c>
    </row>
    <row r="9" customFormat="false" ht="15" hidden="false" customHeight="false" outlineLevel="0" collapsed="false">
      <c r="A9" s="15" t="s">
        <v>357</v>
      </c>
      <c r="B9" s="51" t="n">
        <v>29</v>
      </c>
      <c r="C9" s="51" t="n">
        <v>0</v>
      </c>
      <c r="D9" s="51" t="n">
        <v>26</v>
      </c>
      <c r="E9" s="15" t="s">
        <v>349</v>
      </c>
      <c r="F9" s="15" t="s">
        <v>358</v>
      </c>
      <c r="G9" s="15" t="s">
        <v>359</v>
      </c>
      <c r="H9" s="2"/>
      <c r="I9" s="2"/>
      <c r="J9" s="2"/>
      <c r="K9" s="2"/>
      <c r="L9" s="2"/>
    </row>
    <row r="10" customFormat="false" ht="15" hidden="false" customHeight="false" outlineLevel="0" collapsed="false">
      <c r="A10" s="15" t="s">
        <v>360</v>
      </c>
      <c r="B10" s="51" t="n">
        <v>20</v>
      </c>
      <c r="C10" s="51" t="n">
        <v>0</v>
      </c>
      <c r="D10" s="51" t="n">
        <v>0</v>
      </c>
      <c r="E10" s="15" t="s">
        <v>349</v>
      </c>
      <c r="F10" s="15" t="s">
        <v>361</v>
      </c>
      <c r="G10" s="15" t="s">
        <v>362</v>
      </c>
      <c r="H10" s="2"/>
      <c r="I10" s="2"/>
      <c r="J10" s="2"/>
      <c r="K10" s="2"/>
      <c r="L10" s="2"/>
    </row>
    <row r="11" customFormat="false" ht="15" hidden="false" customHeight="false" outlineLevel="0" collapsed="false">
      <c r="A11" s="15" t="s">
        <v>363</v>
      </c>
      <c r="B11" s="51" t="n">
        <v>0</v>
      </c>
      <c r="C11" s="51" t="n">
        <v>0</v>
      </c>
      <c r="D11" s="51" t="n">
        <v>0</v>
      </c>
      <c r="E11" s="15" t="s">
        <v>364</v>
      </c>
      <c r="F11" s="15" t="s">
        <v>365</v>
      </c>
      <c r="G11" s="15" t="s">
        <v>366</v>
      </c>
      <c r="H11" s="2"/>
      <c r="I11" s="2"/>
      <c r="J11" s="2"/>
      <c r="K11" s="2"/>
      <c r="L11" s="2"/>
    </row>
    <row r="12" customFormat="false" ht="15" hidden="false" customHeight="false" outlineLevel="0" collapsed="false">
      <c r="A12" s="15" t="s">
        <v>367</v>
      </c>
      <c r="B12" s="51" t="n">
        <v>0</v>
      </c>
      <c r="C12" s="51" t="n">
        <v>0</v>
      </c>
      <c r="D12" s="51" t="n">
        <v>0</v>
      </c>
      <c r="E12" s="15" t="s">
        <v>364</v>
      </c>
      <c r="F12" s="15" t="s">
        <v>368</v>
      </c>
      <c r="G12" s="15" t="s">
        <v>369</v>
      </c>
      <c r="H12" s="2"/>
      <c r="I12" s="2"/>
      <c r="J12" s="2"/>
      <c r="K12" s="2"/>
      <c r="L12" s="2"/>
    </row>
    <row r="13" customFormat="false" ht="15" hidden="false" customHeight="false" outlineLevel="0" collapsed="false">
      <c r="A13" s="15" t="s">
        <v>370</v>
      </c>
      <c r="B13" s="51" t="n">
        <v>0</v>
      </c>
      <c r="C13" s="51" t="n">
        <v>0</v>
      </c>
      <c r="D13" s="51" t="n">
        <v>0</v>
      </c>
      <c r="E13" s="15" t="s">
        <v>364</v>
      </c>
      <c r="F13" s="15" t="s">
        <v>371</v>
      </c>
      <c r="G13" s="15" t="s">
        <v>372</v>
      </c>
      <c r="H13" s="2"/>
      <c r="I13" s="2"/>
      <c r="J13" s="2"/>
      <c r="K13" s="2"/>
      <c r="L13" s="2"/>
    </row>
    <row r="14" customFormat="false" ht="15" hidden="false" customHeight="false" outlineLevel="0" collapsed="false">
      <c r="A14" s="15" t="s">
        <v>373</v>
      </c>
      <c r="B14" s="51" t="n">
        <v>0</v>
      </c>
      <c r="C14" s="51" t="n">
        <v>0</v>
      </c>
      <c r="D14" s="51" t="n">
        <v>0</v>
      </c>
      <c r="E14" s="15" t="s">
        <v>364</v>
      </c>
      <c r="F14" s="15" t="s">
        <v>374</v>
      </c>
      <c r="G14" s="15" t="s">
        <v>375</v>
      </c>
      <c r="H14" s="2"/>
      <c r="I14" s="2"/>
      <c r="J14" s="2"/>
      <c r="K14" s="2"/>
      <c r="L14" s="2"/>
    </row>
    <row r="15" customFormat="false" ht="15" hidden="false" customHeight="false" outlineLevel="0" collapsed="false">
      <c r="A15" s="15" t="s">
        <v>376</v>
      </c>
      <c r="B15" s="51" t="n">
        <v>0</v>
      </c>
      <c r="C15" s="51" t="n">
        <v>0</v>
      </c>
      <c r="D15" s="51" t="n">
        <v>0</v>
      </c>
      <c r="E15" s="15" t="s">
        <v>377</v>
      </c>
      <c r="F15" s="15" t="s">
        <v>378</v>
      </c>
      <c r="G15" s="15" t="s">
        <v>379</v>
      </c>
      <c r="H15" s="2"/>
      <c r="I15" s="2"/>
      <c r="J15" s="2"/>
      <c r="K15" s="2"/>
      <c r="L15" s="2"/>
    </row>
    <row r="16" customFormat="false" ht="15" hidden="false" customHeight="false" outlineLevel="0" collapsed="false">
      <c r="A16" s="15" t="s">
        <v>380</v>
      </c>
      <c r="B16" s="51" t="n">
        <v>0</v>
      </c>
      <c r="C16" s="51" t="n">
        <v>0</v>
      </c>
      <c r="D16" s="51" t="n">
        <v>0</v>
      </c>
      <c r="E16" s="15" t="s">
        <v>364</v>
      </c>
      <c r="F16" s="15" t="s">
        <v>381</v>
      </c>
      <c r="G16" s="15" t="s">
        <v>382</v>
      </c>
      <c r="H16" s="2"/>
      <c r="I16" s="2"/>
      <c r="J16" s="2"/>
      <c r="K16" s="2"/>
      <c r="L16" s="2"/>
    </row>
    <row r="17" customFormat="false" ht="15" hidden="false" customHeight="false" outlineLevel="0" collapsed="false">
      <c r="A17" s="17" t="s">
        <v>383</v>
      </c>
      <c r="B17" s="52" t="n">
        <v>0</v>
      </c>
      <c r="C17" s="52" t="n">
        <v>0</v>
      </c>
      <c r="D17" s="52" t="n">
        <v>0</v>
      </c>
      <c r="E17" s="17" t="s">
        <v>364</v>
      </c>
      <c r="F17" s="17" t="s">
        <v>384</v>
      </c>
      <c r="G17" s="17" t="s">
        <v>385</v>
      </c>
      <c r="H17" s="2"/>
      <c r="I17" s="2"/>
      <c r="J17" s="2"/>
      <c r="K17" s="2"/>
      <c r="L17" s="2"/>
    </row>
    <row r="18" customFormat="false" ht="15" hidden="false" customHeight="false" outlineLevel="0" collapsed="false">
      <c r="A18" s="55" t="s">
        <v>386</v>
      </c>
      <c r="B18" s="56" t="n">
        <f aca="false">SUM(B7:B17)</f>
        <v>94</v>
      </c>
      <c r="C18" s="56" t="n">
        <f aca="false">SUM(C7:C17)</f>
        <v>45</v>
      </c>
      <c r="D18" s="56" t="n">
        <f aca="false">SUM(D7:D17)</f>
        <v>71</v>
      </c>
      <c r="E18" s="55"/>
      <c r="F18" s="55"/>
      <c r="G18" s="55"/>
      <c r="H18" s="2"/>
      <c r="I18" s="2"/>
      <c r="J18" s="2"/>
      <c r="K18" s="2"/>
      <c r="L18" s="2"/>
    </row>
    <row r="19" customFormat="false" ht="15" hidden="false" customHeight="false" outlineLevel="0" collapsed="false">
      <c r="A19" s="2"/>
      <c r="B19" s="2"/>
      <c r="C19" s="2"/>
      <c r="D19" s="2"/>
      <c r="E19" s="2"/>
      <c r="F19" s="2"/>
      <c r="G19" s="2"/>
      <c r="H19" s="2"/>
      <c r="I19" s="2"/>
      <c r="J19" s="2"/>
      <c r="K19" s="2"/>
      <c r="L19" s="2"/>
    </row>
    <row r="20" customFormat="false" ht="15" hidden="false" customHeight="false" outlineLevel="0" collapsed="false">
      <c r="A20" s="2"/>
      <c r="B20" s="2"/>
      <c r="C20" s="2"/>
      <c r="D20" s="2"/>
      <c r="E20" s="2"/>
      <c r="F20" s="2"/>
      <c r="G20" s="2"/>
      <c r="H20" s="2"/>
      <c r="I20" s="2"/>
      <c r="J20" s="2"/>
      <c r="K20" s="2"/>
      <c r="L20" s="2"/>
    </row>
    <row r="21" customFormat="false" ht="21.75" hidden="false" customHeight="true" outlineLevel="0" collapsed="false">
      <c r="A21" s="12" t="s">
        <v>387</v>
      </c>
      <c r="B21" s="12"/>
      <c r="C21" s="12"/>
      <c r="D21" s="12"/>
      <c r="E21" s="12"/>
      <c r="F21" s="12"/>
      <c r="G21" s="12"/>
      <c r="H21" s="2"/>
      <c r="I21" s="2"/>
      <c r="J21" s="2"/>
      <c r="K21" s="2"/>
      <c r="L21" s="2"/>
    </row>
    <row r="22" customFormat="false" ht="25.5" hidden="false" customHeight="true" outlineLevel="0" collapsed="false">
      <c r="A22" s="4" t="s">
        <v>388</v>
      </c>
      <c r="B22" s="4" t="s">
        <v>49</v>
      </c>
      <c r="C22" s="4" t="s">
        <v>389</v>
      </c>
      <c r="D22" s="4" t="s">
        <v>390</v>
      </c>
      <c r="E22" s="4" t="s">
        <v>391</v>
      </c>
      <c r="F22" s="4" t="s">
        <v>392</v>
      </c>
      <c r="G22" s="4" t="s">
        <v>241</v>
      </c>
      <c r="H22" s="2"/>
      <c r="I22" s="2"/>
      <c r="J22" s="2"/>
      <c r="K22" s="2"/>
      <c r="L22" s="2"/>
    </row>
    <row r="23" customFormat="false" ht="15" hidden="false" customHeight="false" outlineLevel="0" collapsed="false">
      <c r="A23" s="13" t="s">
        <v>393</v>
      </c>
      <c r="B23" s="49" t="n">
        <v>4.7</v>
      </c>
      <c r="C23" s="49" t="n">
        <v>0</v>
      </c>
      <c r="D23" s="49" t="n">
        <v>0</v>
      </c>
      <c r="E23" s="13" t="s">
        <v>394</v>
      </c>
      <c r="F23" s="13" t="s">
        <v>395</v>
      </c>
      <c r="G23" s="13" t="s">
        <v>372</v>
      </c>
      <c r="H23" s="2"/>
      <c r="I23" s="2"/>
      <c r="J23" s="2"/>
      <c r="K23" s="2"/>
      <c r="L23" s="2"/>
    </row>
    <row r="24" customFormat="false" ht="15" hidden="false" customHeight="false" outlineLevel="0" collapsed="false">
      <c r="A24" s="15" t="s">
        <v>396</v>
      </c>
      <c r="B24" s="51" t="n">
        <f aca="false">'Prior Models'!C10-B23</f>
        <v>0.81</v>
      </c>
      <c r="C24" s="51" t="n">
        <f aca="false">'Unit Economics'!B8</f>
        <v>0.66</v>
      </c>
      <c r="D24" s="51" t="n">
        <f aca="false">'Unit Economics'!B8</f>
        <v>0.66</v>
      </c>
      <c r="E24" s="15" t="s">
        <v>397</v>
      </c>
      <c r="F24" s="15" t="s">
        <v>398</v>
      </c>
      <c r="G24" s="15" t="s">
        <v>385</v>
      </c>
      <c r="H24" s="2"/>
      <c r="I24" s="2"/>
      <c r="J24" s="2"/>
      <c r="K24" s="2"/>
      <c r="L24" s="2"/>
    </row>
    <row r="25" customFormat="false" ht="15" hidden="false" customHeight="false" outlineLevel="0" collapsed="false">
      <c r="A25" s="15" t="s">
        <v>380</v>
      </c>
      <c r="B25" s="51" t="n">
        <v>0</v>
      </c>
      <c r="C25" s="51" t="n">
        <f aca="false">'Unit Economics'!B9</f>
        <v>0.02625</v>
      </c>
      <c r="D25" s="51" t="n">
        <f aca="false">'Unit Economics'!B10</f>
        <v>0.0525</v>
      </c>
      <c r="E25" s="15" t="s">
        <v>399</v>
      </c>
      <c r="F25" s="15" t="s">
        <v>400</v>
      </c>
      <c r="G25" s="15" t="s">
        <v>382</v>
      </c>
      <c r="H25" s="2"/>
      <c r="I25" s="2"/>
      <c r="J25" s="2"/>
      <c r="K25" s="2"/>
      <c r="L25" s="2"/>
    </row>
    <row r="26" customFormat="false" ht="15" hidden="false" customHeight="false" outlineLevel="0" collapsed="false">
      <c r="A26" s="57" t="s">
        <v>401</v>
      </c>
      <c r="B26" s="58" t="n">
        <f aca="false">SUM(B23:B25)</f>
        <v>5.51</v>
      </c>
      <c r="C26" s="58" t="n">
        <f aca="false">SUM(C23:C25)</f>
        <v>0.68625</v>
      </c>
      <c r="D26" s="58" t="n">
        <f aca="false">SUM(D23:D25)</f>
        <v>0.7125</v>
      </c>
      <c r="E26" s="57" t="s">
        <v>402</v>
      </c>
      <c r="F26" s="57" t="s">
        <v>403</v>
      </c>
      <c r="G26" s="57"/>
      <c r="H26" s="2"/>
      <c r="I26" s="2"/>
      <c r="J26" s="2"/>
      <c r="K26" s="2"/>
      <c r="L26" s="2"/>
    </row>
  </sheetData>
  <mergeCells count="4">
    <mergeCell ref="A1:G1"/>
    <mergeCell ref="A2:G3"/>
    <mergeCell ref="A4:G5"/>
    <mergeCell ref="A21:G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2" min="2" style="0" width="22"/>
    <col collapsed="false" customWidth="true" hidden="false" outlineLevel="0" max="4" min="3" style="0" width="15"/>
    <col collapsed="false" customWidth="true" hidden="false" outlineLevel="0" max="6" min="5" style="0" width="19"/>
    <col collapsed="false" customWidth="true" hidden="false" outlineLevel="0" max="8" min="7" style="0" width="29"/>
    <col collapsed="false" customWidth="true" hidden="false" outlineLevel="0" max="9" min="9" style="0" width="52"/>
  </cols>
  <sheetData>
    <row r="1" customFormat="false" ht="33.75" hidden="false" customHeight="true" outlineLevel="0" collapsed="false">
      <c r="A1" s="1" t="s">
        <v>404</v>
      </c>
      <c r="B1" s="1"/>
      <c r="C1" s="1"/>
      <c r="D1" s="1"/>
      <c r="E1" s="1"/>
      <c r="F1" s="1"/>
      <c r="G1" s="1"/>
      <c r="H1" s="1"/>
      <c r="I1" s="1"/>
    </row>
    <row r="2" customFormat="false" ht="31.5" hidden="false" customHeight="true" outlineLevel="0" collapsed="false">
      <c r="A2" s="3" t="s">
        <v>405</v>
      </c>
      <c r="B2" s="3"/>
      <c r="C2" s="3"/>
      <c r="D2" s="3"/>
      <c r="E2" s="3"/>
      <c r="F2" s="3"/>
      <c r="G2" s="3"/>
      <c r="H2" s="3"/>
      <c r="I2" s="3"/>
    </row>
    <row r="3" customFormat="false" ht="31.5" hidden="false" customHeight="true" outlineLevel="0" collapsed="false">
      <c r="A3" s="3"/>
      <c r="B3" s="3"/>
      <c r="C3" s="3"/>
      <c r="D3" s="3"/>
      <c r="E3" s="3"/>
      <c r="F3" s="3"/>
      <c r="G3" s="3"/>
      <c r="H3" s="3"/>
      <c r="I3" s="3"/>
    </row>
    <row r="4" customFormat="false" ht="25.5" hidden="false" customHeight="true" outlineLevel="0" collapsed="false">
      <c r="A4" s="4" t="s">
        <v>406</v>
      </c>
      <c r="B4" s="4" t="s">
        <v>407</v>
      </c>
      <c r="C4" s="4" t="s">
        <v>408</v>
      </c>
      <c r="D4" s="4" t="s">
        <v>409</v>
      </c>
      <c r="E4" s="4" t="s">
        <v>410</v>
      </c>
      <c r="F4" s="4" t="s">
        <v>411</v>
      </c>
      <c r="G4" s="4" t="s">
        <v>412</v>
      </c>
      <c r="H4" s="4" t="s">
        <v>413</v>
      </c>
      <c r="I4" s="4" t="s">
        <v>346</v>
      </c>
    </row>
    <row r="5" customFormat="false" ht="15" hidden="false" customHeight="false" outlineLevel="0" collapsed="false">
      <c r="A5" s="13" t="s">
        <v>414</v>
      </c>
      <c r="B5" s="13" t="s">
        <v>415</v>
      </c>
      <c r="C5" s="59" t="n">
        <v>0.5</v>
      </c>
      <c r="D5" s="59" t="n">
        <v>3</v>
      </c>
      <c r="E5" s="59" t="n">
        <f aca="false">C5*Assumptions!$B$15/1000000+D5*Assumptions!$B$16/1000000</f>
        <v>0.00185</v>
      </c>
      <c r="F5" s="59" t="n">
        <f aca="false">E5*Assumptions!$B$14</f>
        <v>0.0185</v>
      </c>
      <c r="G5" s="13" t="s">
        <v>416</v>
      </c>
      <c r="H5" s="13" t="s">
        <v>417</v>
      </c>
      <c r="I5" s="13" t="s">
        <v>382</v>
      </c>
    </row>
    <row r="6" customFormat="false" ht="15" hidden="false" customHeight="false" outlineLevel="0" collapsed="false">
      <c r="A6" s="60" t="s">
        <v>418</v>
      </c>
      <c r="B6" s="60" t="s">
        <v>419</v>
      </c>
      <c r="C6" s="61" t="n">
        <v>0.75</v>
      </c>
      <c r="D6" s="61" t="n">
        <v>3.75</v>
      </c>
      <c r="E6" s="61" t="n">
        <f aca="false">C6*Assumptions!$B$15/1000000+D6*Assumptions!$B$16/1000000</f>
        <v>0.002625</v>
      </c>
      <c r="F6" s="61" t="n">
        <f aca="false">E6*Assumptions!$B$14</f>
        <v>0.02625</v>
      </c>
      <c r="G6" s="60" t="s">
        <v>420</v>
      </c>
      <c r="H6" s="60" t="s">
        <v>421</v>
      </c>
      <c r="I6" s="60" t="s">
        <v>382</v>
      </c>
    </row>
    <row r="7" customFormat="false" ht="15" hidden="false" customHeight="false" outlineLevel="0" collapsed="false">
      <c r="A7" s="60" t="s">
        <v>422</v>
      </c>
      <c r="B7" s="60" t="s">
        <v>419</v>
      </c>
      <c r="C7" s="61" t="n">
        <v>1.5</v>
      </c>
      <c r="D7" s="61" t="n">
        <v>7.5</v>
      </c>
      <c r="E7" s="61" t="n">
        <f aca="false">C7*Assumptions!$B$15/1000000+D7*Assumptions!$B$16/1000000</f>
        <v>0.00525</v>
      </c>
      <c r="F7" s="61" t="n">
        <f aca="false">E7*Assumptions!$B$14</f>
        <v>0.0525</v>
      </c>
      <c r="G7" s="60" t="s">
        <v>423</v>
      </c>
      <c r="H7" s="60" t="s">
        <v>424</v>
      </c>
      <c r="I7" s="60" t="s">
        <v>382</v>
      </c>
    </row>
    <row r="8" customFormat="false" ht="15" hidden="false" customHeight="false" outlineLevel="0" collapsed="false">
      <c r="A8" s="62" t="s">
        <v>425</v>
      </c>
      <c r="B8" s="62" t="s">
        <v>426</v>
      </c>
      <c r="C8" s="63" t="n">
        <v>0.3</v>
      </c>
      <c r="D8" s="63" t="n">
        <v>2.5</v>
      </c>
      <c r="E8" s="63" t="n">
        <f aca="false">C8*Assumptions!$B$15/1000000+D8*Assumptions!$B$16/1000000</f>
        <v>0.00125</v>
      </c>
      <c r="F8" s="63" t="n">
        <f aca="false">E8*Assumptions!$B$14</f>
        <v>0.0125</v>
      </c>
      <c r="G8" s="62" t="s">
        <v>427</v>
      </c>
      <c r="H8" s="62" t="s">
        <v>428</v>
      </c>
      <c r="I8" s="62" t="s">
        <v>429</v>
      </c>
    </row>
    <row r="9" customFormat="false" ht="15" hidden="false" customHeight="false" outlineLevel="0" collapsed="false">
      <c r="A9" s="2"/>
      <c r="B9" s="2"/>
      <c r="C9" s="2"/>
      <c r="D9" s="2"/>
      <c r="E9" s="2"/>
      <c r="F9" s="2"/>
      <c r="G9" s="2"/>
      <c r="H9" s="2"/>
      <c r="I9" s="2"/>
    </row>
    <row r="10" customFormat="false" ht="15" hidden="false" customHeight="false" outlineLevel="0" collapsed="false">
      <c r="A10" s="2"/>
      <c r="B10" s="2"/>
      <c r="C10" s="2"/>
      <c r="D10" s="2"/>
      <c r="E10" s="2"/>
      <c r="F10" s="2"/>
      <c r="G10" s="2"/>
      <c r="H10" s="2"/>
      <c r="I10" s="2"/>
    </row>
    <row r="11" customFormat="false" ht="21.75" hidden="false" customHeight="true" outlineLevel="0" collapsed="false">
      <c r="A11" s="12" t="s">
        <v>430</v>
      </c>
      <c r="B11" s="12"/>
      <c r="C11" s="12"/>
      <c r="D11" s="12"/>
      <c r="E11" s="12"/>
      <c r="F11" s="12"/>
      <c r="G11" s="12"/>
      <c r="H11" s="12"/>
      <c r="I11" s="12"/>
    </row>
    <row r="12" customFormat="false" ht="25.5" hidden="false" customHeight="true" outlineLevel="0" collapsed="false">
      <c r="A12" s="4" t="s">
        <v>431</v>
      </c>
      <c r="B12" s="4" t="s">
        <v>432</v>
      </c>
      <c r="C12" s="4" t="s">
        <v>433</v>
      </c>
      <c r="D12" s="4" t="s">
        <v>434</v>
      </c>
      <c r="E12" s="4" t="s">
        <v>435</v>
      </c>
      <c r="F12" s="2"/>
      <c r="G12" s="2"/>
      <c r="H12" s="2"/>
      <c r="I12" s="2"/>
    </row>
    <row r="13" customFormat="false" ht="15" hidden="false" customHeight="false" outlineLevel="0" collapsed="false">
      <c r="A13" s="13" t="n">
        <v>5</v>
      </c>
      <c r="B13" s="64" t="n">
        <f aca="false">$A13*$E$5</f>
        <v>0.00925</v>
      </c>
      <c r="C13" s="64" t="n">
        <f aca="false">$A13*$E$6</f>
        <v>0.013125</v>
      </c>
      <c r="D13" s="64" t="n">
        <f aca="false">$A13*$E$7</f>
        <v>0.02625</v>
      </c>
      <c r="E13" s="64" t="n">
        <f aca="false">$A13*$E$8</f>
        <v>0.00625</v>
      </c>
      <c r="F13" s="2"/>
      <c r="G13" s="2"/>
      <c r="H13" s="2"/>
      <c r="I13" s="2"/>
    </row>
    <row r="14" customFormat="false" ht="15" hidden="false" customHeight="false" outlineLevel="0" collapsed="false">
      <c r="A14" s="15" t="n">
        <v>10</v>
      </c>
      <c r="B14" s="65" t="n">
        <f aca="false">$A14*$E$5</f>
        <v>0.0185</v>
      </c>
      <c r="C14" s="65" t="n">
        <f aca="false">$A14*$E$6</f>
        <v>0.02625</v>
      </c>
      <c r="D14" s="65" t="n">
        <f aca="false">$A14*$E$7</f>
        <v>0.0525</v>
      </c>
      <c r="E14" s="65" t="n">
        <f aca="false">$A14*$E$8</f>
        <v>0.0125</v>
      </c>
      <c r="F14" s="2"/>
      <c r="G14" s="2"/>
      <c r="H14" s="2"/>
      <c r="I14" s="2"/>
    </row>
    <row r="15" customFormat="false" ht="15" hidden="false" customHeight="false" outlineLevel="0" collapsed="false">
      <c r="A15" s="15" t="n">
        <v>20</v>
      </c>
      <c r="B15" s="65" t="n">
        <f aca="false">$A15*$E$5</f>
        <v>0.037</v>
      </c>
      <c r="C15" s="65" t="n">
        <f aca="false">$A15*$E$6</f>
        <v>0.0525</v>
      </c>
      <c r="D15" s="65" t="n">
        <f aca="false">$A15*$E$7</f>
        <v>0.105</v>
      </c>
      <c r="E15" s="65" t="n">
        <f aca="false">$A15*$E$8</f>
        <v>0.025</v>
      </c>
      <c r="F15" s="2"/>
      <c r="G15" s="2"/>
      <c r="H15" s="2"/>
      <c r="I15" s="2"/>
    </row>
    <row r="16" customFormat="false" ht="15" hidden="false" customHeight="false" outlineLevel="0" collapsed="false">
      <c r="A16" s="17" t="n">
        <v>40</v>
      </c>
      <c r="B16" s="66" t="n">
        <f aca="false">$A16*$E$5</f>
        <v>0.074</v>
      </c>
      <c r="C16" s="66" t="n">
        <f aca="false">$A16*$E$6</f>
        <v>0.105</v>
      </c>
      <c r="D16" s="66" t="n">
        <f aca="false">$A16*$E$7</f>
        <v>0.21</v>
      </c>
      <c r="E16" s="66" t="n">
        <f aca="false">$A16*$E$8</f>
        <v>0.05</v>
      </c>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
      <c r="B18" s="2"/>
      <c r="C18" s="2"/>
      <c r="D18" s="2"/>
      <c r="E18" s="2"/>
      <c r="F18" s="2"/>
      <c r="G18" s="2"/>
      <c r="H18" s="2"/>
      <c r="I18" s="2"/>
    </row>
    <row r="19" customFormat="false" ht="15" hidden="false" customHeight="true" outlineLevel="0" collapsed="false">
      <c r="A19" s="19" t="s">
        <v>436</v>
      </c>
      <c r="B19" s="19"/>
      <c r="C19" s="19"/>
      <c r="D19" s="19"/>
      <c r="E19" s="19"/>
      <c r="F19" s="19"/>
      <c r="G19" s="19"/>
      <c r="H19" s="19"/>
      <c r="I19" s="19"/>
    </row>
    <row r="20" customFormat="false" ht="15" hidden="false" customHeight="false" outlineLevel="0" collapsed="false">
      <c r="A20" s="19"/>
      <c r="B20" s="19"/>
      <c r="C20" s="19"/>
      <c r="D20" s="19"/>
      <c r="E20" s="19"/>
      <c r="F20" s="19"/>
      <c r="G20" s="19"/>
      <c r="H20" s="19"/>
      <c r="I20" s="19"/>
    </row>
    <row r="21" customFormat="false" ht="15" hidden="false" customHeight="false" outlineLevel="0" collapsed="false">
      <c r="A21" s="19"/>
      <c r="B21" s="19"/>
      <c r="C21" s="19"/>
      <c r="D21" s="19"/>
      <c r="E21" s="19"/>
      <c r="F21" s="19"/>
      <c r="G21" s="19"/>
      <c r="H21" s="19"/>
      <c r="I21" s="19"/>
    </row>
  </sheetData>
  <mergeCells count="4">
    <mergeCell ref="A1:I1"/>
    <mergeCell ref="A2:I3"/>
    <mergeCell ref="A11:I11"/>
    <mergeCell ref="A19:I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6" min="2" style="0" width="17"/>
    <col collapsed="false" customWidth="true" hidden="false" outlineLevel="0" max="7" min="7" style="0" width="25"/>
    <col collapsed="false" customWidth="true" hidden="false" outlineLevel="0" max="8" min="8" style="0" width="44"/>
  </cols>
  <sheetData>
    <row r="1" customFormat="false" ht="33.75" hidden="false" customHeight="true" outlineLevel="0" collapsed="false">
      <c r="A1" s="1" t="s">
        <v>437</v>
      </c>
      <c r="B1" s="1"/>
      <c r="C1" s="1"/>
      <c r="D1" s="1"/>
      <c r="E1" s="1"/>
      <c r="F1" s="1"/>
      <c r="G1" s="1"/>
      <c r="H1" s="1"/>
    </row>
    <row r="2" customFormat="false" ht="31.5" hidden="false" customHeight="true" outlineLevel="0" collapsed="false">
      <c r="A2" s="3" t="s">
        <v>438</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12</v>
      </c>
      <c r="B4" s="4" t="s">
        <v>296</v>
      </c>
      <c r="C4" s="4" t="s">
        <v>297</v>
      </c>
      <c r="D4" s="4" t="s">
        <v>298</v>
      </c>
      <c r="E4" s="4" t="s">
        <v>14</v>
      </c>
      <c r="F4" s="4" t="s">
        <v>15</v>
      </c>
      <c r="G4" s="4" t="s">
        <v>439</v>
      </c>
      <c r="H4" s="4" t="s">
        <v>440</v>
      </c>
    </row>
    <row r="5" customFormat="false" ht="15" hidden="false" customHeight="false" outlineLevel="0" collapsed="false">
      <c r="A5" s="13" t="s">
        <v>20</v>
      </c>
      <c r="B5" s="67" t="n">
        <v>7.99</v>
      </c>
      <c r="C5" s="67" t="n">
        <v>14.99</v>
      </c>
      <c r="D5" s="67" t="n">
        <v>7.99</v>
      </c>
      <c r="E5" s="67" t="n">
        <f aca="false">Assumptions!B13</f>
        <v>10</v>
      </c>
      <c r="F5" s="67" t="n">
        <f aca="false">Assumptions!B13</f>
        <v>10</v>
      </c>
      <c r="G5" s="13" t="s">
        <v>225</v>
      </c>
      <c r="H5" s="13" t="s">
        <v>441</v>
      </c>
    </row>
    <row r="6" customFormat="false" ht="15" hidden="false" customHeight="false" outlineLevel="0" collapsed="false">
      <c r="A6" s="15" t="s">
        <v>302</v>
      </c>
      <c r="B6" s="50" t="n">
        <v>0.02</v>
      </c>
      <c r="C6" s="50" t="n">
        <v>0.02</v>
      </c>
      <c r="D6" s="50" t="n">
        <v>0.02</v>
      </c>
      <c r="E6" s="50" t="n">
        <f aca="false">Assumptions!B8</f>
        <v>0.02</v>
      </c>
      <c r="F6" s="50" t="n">
        <f aca="false">Assumptions!B8</f>
        <v>0.02</v>
      </c>
      <c r="G6" s="15" t="s">
        <v>442</v>
      </c>
      <c r="H6" s="15" t="s">
        <v>443</v>
      </c>
    </row>
    <row r="7" customFormat="false" ht="15" hidden="false" customHeight="false" outlineLevel="0" collapsed="false">
      <c r="A7" s="15" t="s">
        <v>218</v>
      </c>
      <c r="B7" s="15" t="n">
        <v>10</v>
      </c>
      <c r="C7" s="15" t="n">
        <v>10</v>
      </c>
      <c r="D7" s="15" t="n">
        <v>10</v>
      </c>
      <c r="E7" s="15" t="n">
        <f aca="false">Assumptions!B10</f>
        <v>10</v>
      </c>
      <c r="F7" s="15" t="n">
        <f aca="false">Assumptions!B10</f>
        <v>10</v>
      </c>
      <c r="G7" s="15" t="s">
        <v>444</v>
      </c>
      <c r="H7" s="15" t="s">
        <v>445</v>
      </c>
    </row>
    <row r="8" customFormat="false" ht="15" hidden="false" customHeight="false" outlineLevel="0" collapsed="false">
      <c r="A8" s="15" t="s">
        <v>169</v>
      </c>
      <c r="B8" s="15" t="n">
        <v>6</v>
      </c>
      <c r="C8" s="15" t="n">
        <v>6</v>
      </c>
      <c r="D8" s="15" t="n">
        <v>6</v>
      </c>
      <c r="E8" s="15" t="n">
        <f aca="false">Assumptions!B11</f>
        <v>6</v>
      </c>
      <c r="F8" s="15" t="n">
        <f aca="false">Assumptions!B11</f>
        <v>6</v>
      </c>
      <c r="G8" s="15" t="s">
        <v>446</v>
      </c>
      <c r="H8" s="15" t="s">
        <v>443</v>
      </c>
    </row>
    <row r="9" customFormat="false" ht="15" hidden="false" customHeight="false" outlineLevel="0" collapsed="false">
      <c r="A9" s="15" t="s">
        <v>24</v>
      </c>
      <c r="B9" s="68" t="n">
        <v>25</v>
      </c>
      <c r="C9" s="68" t="n">
        <v>94</v>
      </c>
      <c r="D9" s="68" t="n">
        <v>45</v>
      </c>
      <c r="E9" s="68" t="n">
        <f aca="false">Assumptions!B25</f>
        <v>45</v>
      </c>
      <c r="F9" s="68" t="n">
        <f aca="false">Assumptions!B26</f>
        <v>71</v>
      </c>
      <c r="G9" s="15" t="s">
        <v>263</v>
      </c>
      <c r="H9" s="15" t="s">
        <v>447</v>
      </c>
    </row>
    <row r="10" customFormat="false" ht="15" hidden="false" customHeight="false" outlineLevel="0" collapsed="false">
      <c r="A10" s="15" t="s">
        <v>28</v>
      </c>
      <c r="B10" s="68" t="n">
        <v>0.89</v>
      </c>
      <c r="C10" s="68" t="n">
        <v>5.51</v>
      </c>
      <c r="D10" s="68" t="n">
        <v>2.45</v>
      </c>
      <c r="E10" s="68" t="n">
        <f aca="false">Assumptions!B13-'Unit Economics'!B11</f>
        <v>0.7125</v>
      </c>
      <c r="F10" s="68" t="n">
        <f aca="false">Assumptions!B13-'Unit Economics'!B11</f>
        <v>0.7125</v>
      </c>
      <c r="G10" s="15" t="s">
        <v>263</v>
      </c>
      <c r="H10" s="15" t="s">
        <v>448</v>
      </c>
    </row>
    <row r="11" customFormat="false" ht="15" hidden="false" customHeight="false" outlineLevel="0" collapsed="false">
      <c r="A11" s="15" t="s">
        <v>8</v>
      </c>
      <c r="B11" s="68" t="n">
        <v>7.1</v>
      </c>
      <c r="C11" s="68" t="n">
        <v>9.48</v>
      </c>
      <c r="D11" s="68" t="n">
        <v>5.54</v>
      </c>
      <c r="E11" s="68" t="n">
        <f aca="false">'Unit Economics'!B11</f>
        <v>9.2875</v>
      </c>
      <c r="F11" s="68" t="n">
        <f aca="false">'Unit Economics'!B11</f>
        <v>9.2875</v>
      </c>
      <c r="G11" s="15" t="s">
        <v>263</v>
      </c>
      <c r="H11" s="15" t="s">
        <v>449</v>
      </c>
    </row>
    <row r="12" customFormat="false" ht="15" hidden="false" customHeight="false" outlineLevel="0" collapsed="false">
      <c r="A12" s="15" t="s">
        <v>450</v>
      </c>
      <c r="B12" s="68" t="n">
        <v>44</v>
      </c>
      <c r="C12" s="68" t="n">
        <v>85</v>
      </c>
      <c r="D12" s="68"/>
      <c r="E12" s="68"/>
      <c r="F12" s="68"/>
      <c r="G12" s="15" t="s">
        <v>285</v>
      </c>
      <c r="H12" s="15" t="s">
        <v>451</v>
      </c>
    </row>
    <row r="13" customFormat="false" ht="15" hidden="false" customHeight="false" outlineLevel="0" collapsed="false">
      <c r="A13" s="69" t="s">
        <v>452</v>
      </c>
      <c r="B13" s="70" t="n">
        <f aca="false">B11*B8</f>
        <v>42.6</v>
      </c>
      <c r="C13" s="70" t="n">
        <f aca="false">C11*C8</f>
        <v>56.88</v>
      </c>
      <c r="D13" s="70" t="n">
        <f aca="false">D11*D8</f>
        <v>33.24</v>
      </c>
      <c r="E13" s="70" t="n">
        <f aca="false">'Unit Economics'!B15</f>
        <v>55.725</v>
      </c>
      <c r="F13" s="70" t="n">
        <f aca="false">'Unit Economics'!B15</f>
        <v>55.725</v>
      </c>
      <c r="G13" s="69" t="s">
        <v>453</v>
      </c>
      <c r="H13" s="69" t="s">
        <v>454</v>
      </c>
    </row>
    <row r="14" customFormat="false" ht="15" hidden="false" customHeight="false" outlineLevel="0" collapsed="false">
      <c r="A14" s="69" t="s">
        <v>455</v>
      </c>
      <c r="B14" s="70"/>
      <c r="C14" s="70" t="n">
        <v>28</v>
      </c>
      <c r="D14" s="70"/>
      <c r="E14" s="70"/>
      <c r="F14" s="70"/>
      <c r="G14" s="69" t="s">
        <v>285</v>
      </c>
      <c r="H14" s="69" t="s">
        <v>456</v>
      </c>
    </row>
    <row r="15" customFormat="false" ht="15" hidden="false" customHeight="false" outlineLevel="0" collapsed="false">
      <c r="A15" s="69" t="s">
        <v>457</v>
      </c>
      <c r="B15" s="70" t="n">
        <f aca="false">B13/3</f>
        <v>14.2</v>
      </c>
      <c r="C15" s="70" t="n">
        <f aca="false">C13/3</f>
        <v>18.96</v>
      </c>
      <c r="D15" s="70" t="n">
        <f aca="false">D13/3</f>
        <v>11.08</v>
      </c>
      <c r="E15" s="70" t="n">
        <f aca="false">'Unit Economics'!B16</f>
        <v>18.575</v>
      </c>
      <c r="F15" s="70" t="n">
        <f aca="false">'Unit Economics'!B16</f>
        <v>18.575</v>
      </c>
      <c r="G15" s="69" t="s">
        <v>285</v>
      </c>
      <c r="H15" s="69" t="s">
        <v>458</v>
      </c>
    </row>
    <row r="16" customFormat="false" ht="15" hidden="false" customHeight="false" outlineLevel="0" collapsed="false">
      <c r="A16" s="15" t="s">
        <v>459</v>
      </c>
      <c r="B16" s="71"/>
      <c r="C16" s="71" t="n">
        <v>10</v>
      </c>
      <c r="D16" s="71" t="n">
        <v>13</v>
      </c>
      <c r="E16" s="71"/>
      <c r="F16" s="71"/>
      <c r="G16" s="15" t="s">
        <v>444</v>
      </c>
      <c r="H16" s="15" t="s">
        <v>460</v>
      </c>
    </row>
    <row r="17" customFormat="false" ht="15" hidden="false" customHeight="false" outlineLevel="0" collapsed="false">
      <c r="A17" s="72" t="s">
        <v>461</v>
      </c>
      <c r="B17" s="73" t="n">
        <f aca="false">CEILING(B9/B11,1)</f>
        <v>4</v>
      </c>
      <c r="C17" s="73" t="n">
        <f aca="false">CEILING(C9/C11,1)</f>
        <v>10</v>
      </c>
      <c r="D17" s="73" t="n">
        <f aca="false">CEILING(D9/D11,1)</f>
        <v>9</v>
      </c>
      <c r="E17" s="73" t="n">
        <f aca="false">'Unit Economics'!B13</f>
        <v>5</v>
      </c>
      <c r="F17" s="73" t="n">
        <f aca="false">'Unit Economics'!B14</f>
        <v>8</v>
      </c>
      <c r="G17" s="72" t="s">
        <v>444</v>
      </c>
      <c r="H17" s="72" t="s">
        <v>462</v>
      </c>
    </row>
    <row r="18" customFormat="false" ht="15" hidden="false" customHeight="false" outlineLevel="0" collapsed="false">
      <c r="A18" s="2"/>
      <c r="B18" s="2"/>
      <c r="C18" s="2"/>
      <c r="D18" s="2"/>
      <c r="E18" s="2"/>
      <c r="F18" s="2"/>
      <c r="G18" s="2"/>
      <c r="H18" s="2"/>
    </row>
    <row r="19" customFormat="false" ht="15" hidden="false" customHeight="false" outlineLevel="0" collapsed="false">
      <c r="A19" s="2"/>
      <c r="B19" s="2"/>
      <c r="C19" s="2"/>
      <c r="D19" s="2"/>
      <c r="E19" s="2"/>
      <c r="F19" s="2"/>
      <c r="G19" s="2"/>
      <c r="H19" s="2"/>
    </row>
    <row r="20" customFormat="false" ht="15" hidden="false" customHeight="true" outlineLevel="0" collapsed="false">
      <c r="A20" s="74" t="s">
        <v>463</v>
      </c>
      <c r="B20" s="74"/>
      <c r="C20" s="74"/>
      <c r="D20" s="74"/>
      <c r="E20" s="74"/>
      <c r="F20" s="74"/>
      <c r="G20" s="74"/>
      <c r="H20" s="74"/>
    </row>
    <row r="21" customFormat="false" ht="15" hidden="false" customHeight="false" outlineLevel="0" collapsed="false">
      <c r="A21" s="74"/>
      <c r="B21" s="74"/>
      <c r="C21" s="74"/>
      <c r="D21" s="74"/>
      <c r="E21" s="74"/>
      <c r="F21" s="74"/>
      <c r="G21" s="74"/>
      <c r="H21" s="74"/>
    </row>
    <row r="22" customFormat="false" ht="15" hidden="false" customHeight="false" outlineLevel="0" collapsed="false">
      <c r="A22" s="74"/>
      <c r="B22" s="74"/>
      <c r="C22" s="74"/>
      <c r="D22" s="74"/>
      <c r="E22" s="74"/>
      <c r="F22" s="74"/>
      <c r="G22" s="74"/>
      <c r="H22" s="74"/>
    </row>
    <row r="23" customFormat="false" ht="15" hidden="false" customHeight="false" outlineLevel="0" collapsed="false">
      <c r="A23" s="74"/>
      <c r="B23" s="74"/>
      <c r="C23" s="74"/>
      <c r="D23" s="74"/>
      <c r="E23" s="74"/>
      <c r="F23" s="74"/>
      <c r="G23" s="74"/>
      <c r="H23" s="74"/>
    </row>
  </sheetData>
  <mergeCells count="3">
    <mergeCell ref="A1:H1"/>
    <mergeCell ref="A2:H3"/>
    <mergeCell ref="A20:H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13" min="2" style="0" width="13"/>
  </cols>
  <sheetData>
    <row r="1" customFormat="false" ht="33.75" hidden="false" customHeight="true" outlineLevel="0" collapsed="false">
      <c r="A1" s="1" t="s">
        <v>464</v>
      </c>
      <c r="B1" s="1"/>
      <c r="C1" s="1"/>
      <c r="D1" s="1"/>
      <c r="E1" s="1"/>
      <c r="F1" s="1"/>
      <c r="G1" s="1"/>
      <c r="H1" s="1"/>
      <c r="I1" s="1"/>
      <c r="J1" s="1"/>
      <c r="K1" s="1"/>
      <c r="L1" s="1"/>
      <c r="M1" s="1"/>
    </row>
    <row r="2" customFormat="false" ht="30" hidden="false" customHeight="true" outlineLevel="0" collapsed="false">
      <c r="A2" s="75" t="s">
        <v>465</v>
      </c>
      <c r="B2" s="75"/>
      <c r="C2" s="75"/>
      <c r="D2" s="75"/>
      <c r="E2" s="75"/>
      <c r="F2" s="75"/>
      <c r="G2" s="75"/>
      <c r="H2" s="75"/>
      <c r="I2" s="75"/>
      <c r="J2" s="75"/>
      <c r="K2" s="75"/>
      <c r="L2" s="75"/>
      <c r="M2" s="75"/>
    </row>
    <row r="3" customFormat="false" ht="18" hidden="false" customHeight="true" outlineLevel="0" collapsed="false">
      <c r="A3" s="4" t="s">
        <v>466</v>
      </c>
      <c r="B3" s="76" t="n">
        <v>1</v>
      </c>
      <c r="C3" s="76" t="n">
        <v>2</v>
      </c>
      <c r="D3" s="76" t="n">
        <v>3</v>
      </c>
      <c r="E3" s="76" t="n">
        <v>4</v>
      </c>
      <c r="F3" s="76" t="n">
        <v>5</v>
      </c>
      <c r="G3" s="76" t="n">
        <v>6</v>
      </c>
      <c r="H3" s="76" t="n">
        <v>7</v>
      </c>
      <c r="I3" s="76" t="n">
        <v>8</v>
      </c>
      <c r="J3" s="76" t="n">
        <v>9</v>
      </c>
      <c r="K3" s="76" t="n">
        <v>10</v>
      </c>
      <c r="L3" s="76" t="n">
        <v>11</v>
      </c>
      <c r="M3" s="76" t="n">
        <v>12</v>
      </c>
    </row>
    <row r="4" customFormat="false" ht="25.5" hidden="false" customHeight="true" outlineLevel="0" collapsed="false">
      <c r="A4" s="4" t="s">
        <v>2</v>
      </c>
      <c r="B4" s="77" t="n">
        <f aca="false">EDATE(Assumptions!$B$6,0)</f>
        <v>46266</v>
      </c>
      <c r="C4" s="77" t="n">
        <f aca="false">EDATE(Assumptions!$B$6,1)</f>
        <v>46296</v>
      </c>
      <c r="D4" s="77" t="n">
        <f aca="false">EDATE(Assumptions!$B$6,2)</f>
        <v>46327</v>
      </c>
      <c r="E4" s="77" t="n">
        <f aca="false">EDATE(Assumptions!$B$6,3)</f>
        <v>46357</v>
      </c>
      <c r="F4" s="77" t="n">
        <f aca="false">EDATE(Assumptions!$B$6,4)</f>
        <v>46388</v>
      </c>
      <c r="G4" s="77" t="n">
        <f aca="false">EDATE(Assumptions!$B$6,5)</f>
        <v>46419</v>
      </c>
      <c r="H4" s="77" t="n">
        <f aca="false">EDATE(Assumptions!$B$6,6)</f>
        <v>46447</v>
      </c>
      <c r="I4" s="77" t="n">
        <f aca="false">EDATE(Assumptions!$B$6,7)</f>
        <v>46478</v>
      </c>
      <c r="J4" s="77" t="n">
        <f aca="false">EDATE(Assumptions!$B$6,8)</f>
        <v>46508</v>
      </c>
      <c r="K4" s="77" t="n">
        <f aca="false">EDATE(Assumptions!$B$6,9)</f>
        <v>46539</v>
      </c>
      <c r="L4" s="77" t="n">
        <f aca="false">EDATE(Assumptions!$B$6,10)</f>
        <v>46569</v>
      </c>
      <c r="M4" s="77" t="n">
        <f aca="false">EDATE(Assumptions!$B$6,11)</f>
        <v>46600</v>
      </c>
    </row>
    <row r="5" customFormat="false" ht="15" hidden="false" customHeight="false" outlineLevel="0" collapsed="false">
      <c r="A5" s="2"/>
      <c r="B5" s="2"/>
      <c r="C5" s="2"/>
      <c r="D5" s="2"/>
      <c r="E5" s="2"/>
      <c r="F5" s="2"/>
      <c r="G5" s="2"/>
      <c r="H5" s="2"/>
      <c r="I5" s="2"/>
      <c r="J5" s="2"/>
      <c r="K5" s="2"/>
      <c r="L5" s="2"/>
      <c r="M5" s="2"/>
    </row>
    <row r="6" customFormat="false" ht="21.75" hidden="false" customHeight="true" outlineLevel="0" collapsed="false">
      <c r="A6" s="12" t="s">
        <v>467</v>
      </c>
      <c r="B6" s="12"/>
      <c r="C6" s="12"/>
      <c r="D6" s="12"/>
      <c r="E6" s="12"/>
      <c r="F6" s="12"/>
      <c r="G6" s="12"/>
      <c r="H6" s="12"/>
      <c r="I6" s="12"/>
      <c r="J6" s="12"/>
      <c r="K6" s="12"/>
      <c r="L6" s="12"/>
      <c r="M6" s="12"/>
    </row>
    <row r="7" customFormat="false" ht="15" hidden="false" customHeight="false" outlineLevel="0" collapsed="false">
      <c r="A7" s="13" t="s">
        <v>468</v>
      </c>
      <c r="B7" s="78" t="n">
        <f aca="false">MIN(B$3,Assumptions!$C$39)*Assumptions!$C$38</f>
        <v>10</v>
      </c>
      <c r="C7" s="78" t="n">
        <f aca="false">MIN(C$3,Assumptions!$C$39)*Assumptions!$C$38</f>
        <v>20</v>
      </c>
      <c r="D7" s="78" t="n">
        <f aca="false">MIN(D$3,Assumptions!$C$39)*Assumptions!$C$38</f>
        <v>30</v>
      </c>
      <c r="E7" s="78" t="n">
        <f aca="false">MIN(E$3,Assumptions!$C$39)*Assumptions!$C$38</f>
        <v>40</v>
      </c>
      <c r="F7" s="78" t="n">
        <f aca="false">MIN(F$3,Assumptions!$C$39)*Assumptions!$C$38</f>
        <v>50</v>
      </c>
      <c r="G7" s="78" t="n">
        <f aca="false">MIN(G$3,Assumptions!$C$39)*Assumptions!$C$38</f>
        <v>60</v>
      </c>
      <c r="H7" s="78" t="n">
        <f aca="false">MIN(H$3,Assumptions!$C$39)*Assumptions!$C$38</f>
        <v>60</v>
      </c>
      <c r="I7" s="78" t="n">
        <f aca="false">MIN(I$3,Assumptions!$C$39)*Assumptions!$C$38</f>
        <v>60</v>
      </c>
      <c r="J7" s="78" t="n">
        <f aca="false">MIN(J$3,Assumptions!$C$39)*Assumptions!$C$38</f>
        <v>60</v>
      </c>
      <c r="K7" s="78" t="n">
        <f aca="false">MIN(K$3,Assumptions!$C$39)*Assumptions!$C$38</f>
        <v>60</v>
      </c>
      <c r="L7" s="78" t="n">
        <f aca="false">MIN(L$3,Assumptions!$C$39)*Assumptions!$C$38</f>
        <v>60</v>
      </c>
      <c r="M7" s="78" t="n">
        <f aca="false">MIN(M$3,Assumptions!$C$39)*Assumptions!$C$38</f>
        <v>60</v>
      </c>
    </row>
    <row r="8" customFormat="false" ht="15" hidden="false" customHeight="false" outlineLevel="0" collapsed="false">
      <c r="A8" s="15" t="s">
        <v>73</v>
      </c>
      <c r="B8" s="79" t="n">
        <f aca="false">B7*Assumptions!$C$36</f>
        <v>149.9</v>
      </c>
      <c r="C8" s="79" t="n">
        <f aca="false">C7*Assumptions!$C$36</f>
        <v>299.8</v>
      </c>
      <c r="D8" s="79" t="n">
        <f aca="false">D7*Assumptions!$C$36</f>
        <v>449.7</v>
      </c>
      <c r="E8" s="79" t="n">
        <f aca="false">E7*Assumptions!$C$36</f>
        <v>599.6</v>
      </c>
      <c r="F8" s="79" t="n">
        <f aca="false">F7*Assumptions!$C$36</f>
        <v>749.5</v>
      </c>
      <c r="G8" s="79" t="n">
        <f aca="false">G7*Assumptions!$C$36</f>
        <v>899.4</v>
      </c>
      <c r="H8" s="79" t="n">
        <f aca="false">H7*Assumptions!$C$36</f>
        <v>899.4</v>
      </c>
      <c r="I8" s="79" t="n">
        <f aca="false">I7*Assumptions!$C$36</f>
        <v>899.4</v>
      </c>
      <c r="J8" s="79" t="n">
        <f aca="false">J7*Assumptions!$C$36</f>
        <v>899.4</v>
      </c>
      <c r="K8" s="79" t="n">
        <f aca="false">K7*Assumptions!$C$36</f>
        <v>899.4</v>
      </c>
      <c r="L8" s="79" t="n">
        <f aca="false">L7*Assumptions!$C$36</f>
        <v>899.4</v>
      </c>
      <c r="M8" s="79" t="n">
        <f aca="false">M7*Assumptions!$C$36</f>
        <v>899.4</v>
      </c>
    </row>
    <row r="9" customFormat="false" ht="15" hidden="false" customHeight="false" outlineLevel="0" collapsed="false">
      <c r="A9" s="15" t="s">
        <v>469</v>
      </c>
      <c r="B9" s="79" t="n">
        <f aca="false">B7*Assumptions!$C$41</f>
        <v>94.8</v>
      </c>
      <c r="C9" s="79" t="n">
        <f aca="false">C7*Assumptions!$C$41</f>
        <v>189.6</v>
      </c>
      <c r="D9" s="79" t="n">
        <f aca="false">D7*Assumptions!$C$41</f>
        <v>284.4</v>
      </c>
      <c r="E9" s="79" t="n">
        <f aca="false">E7*Assumptions!$C$41</f>
        <v>379.2</v>
      </c>
      <c r="F9" s="79" t="n">
        <f aca="false">F7*Assumptions!$C$41</f>
        <v>474</v>
      </c>
      <c r="G9" s="79" t="n">
        <f aca="false">G7*Assumptions!$C$41</f>
        <v>568.8</v>
      </c>
      <c r="H9" s="79" t="n">
        <f aca="false">H7*Assumptions!$C$41</f>
        <v>568.8</v>
      </c>
      <c r="I9" s="79" t="n">
        <f aca="false">I7*Assumptions!$C$41</f>
        <v>568.8</v>
      </c>
      <c r="J9" s="79" t="n">
        <f aca="false">J7*Assumptions!$C$41</f>
        <v>568.8</v>
      </c>
      <c r="K9" s="79" t="n">
        <f aca="false">K7*Assumptions!$C$41</f>
        <v>568.8</v>
      </c>
      <c r="L9" s="79" t="n">
        <f aca="false">L7*Assumptions!$C$41</f>
        <v>568.8</v>
      </c>
      <c r="M9" s="79" t="n">
        <f aca="false">M7*Assumptions!$C$41</f>
        <v>568.8</v>
      </c>
    </row>
    <row r="10" customFormat="false" ht="15" hidden="false" customHeight="false" outlineLevel="0" collapsed="false">
      <c r="A10" s="15" t="s">
        <v>24</v>
      </c>
      <c r="B10" s="79" t="n">
        <f aca="false">Assumptions!$C$40</f>
        <v>94</v>
      </c>
      <c r="C10" s="79" t="n">
        <f aca="false">Assumptions!$C$40</f>
        <v>94</v>
      </c>
      <c r="D10" s="79" t="n">
        <f aca="false">Assumptions!$C$40</f>
        <v>94</v>
      </c>
      <c r="E10" s="79" t="n">
        <f aca="false">Assumptions!$C$40</f>
        <v>94</v>
      </c>
      <c r="F10" s="79" t="n">
        <f aca="false">Assumptions!$C$40</f>
        <v>94</v>
      </c>
      <c r="G10" s="79" t="n">
        <f aca="false">Assumptions!$C$40</f>
        <v>94</v>
      </c>
      <c r="H10" s="79" t="n">
        <f aca="false">Assumptions!$C$40</f>
        <v>94</v>
      </c>
      <c r="I10" s="79" t="n">
        <f aca="false">Assumptions!$C$40</f>
        <v>94</v>
      </c>
      <c r="J10" s="79" t="n">
        <f aca="false">Assumptions!$C$40</f>
        <v>94</v>
      </c>
      <c r="K10" s="79" t="n">
        <f aca="false">Assumptions!$C$40</f>
        <v>94</v>
      </c>
      <c r="L10" s="79" t="n">
        <f aca="false">Assumptions!$C$40</f>
        <v>94</v>
      </c>
      <c r="M10" s="79" t="n">
        <f aca="false">Assumptions!$C$40</f>
        <v>94</v>
      </c>
    </row>
    <row r="11" customFormat="false" ht="15" hidden="false" customHeight="false" outlineLevel="0" collapsed="false">
      <c r="A11" s="15" t="s">
        <v>125</v>
      </c>
      <c r="B11" s="79" t="n">
        <f aca="false">B9-B10</f>
        <v>0.800000000000011</v>
      </c>
      <c r="C11" s="79" t="n">
        <f aca="false">C9-C10</f>
        <v>95.6</v>
      </c>
      <c r="D11" s="79" t="n">
        <f aca="false">D9-D10</f>
        <v>190.4</v>
      </c>
      <c r="E11" s="79" t="n">
        <f aca="false">E9-E10</f>
        <v>285.2</v>
      </c>
      <c r="F11" s="79" t="n">
        <f aca="false">F9-F10</f>
        <v>380</v>
      </c>
      <c r="G11" s="79" t="n">
        <f aca="false">G9-G10</f>
        <v>474.8</v>
      </c>
      <c r="H11" s="79" t="n">
        <f aca="false">H9-H10</f>
        <v>474.8</v>
      </c>
      <c r="I11" s="79" t="n">
        <f aca="false">I9-I10</f>
        <v>474.8</v>
      </c>
      <c r="J11" s="79" t="n">
        <f aca="false">J9-J10</f>
        <v>474.8</v>
      </c>
      <c r="K11" s="79" t="n">
        <f aca="false">K9-K10</f>
        <v>474.8</v>
      </c>
      <c r="L11" s="79" t="n">
        <f aca="false">L9-L10</f>
        <v>474.8</v>
      </c>
      <c r="M11" s="79" t="n">
        <f aca="false">M9-M10</f>
        <v>474.8</v>
      </c>
    </row>
    <row r="12" customFormat="false" ht="15" hidden="false" customHeight="false" outlineLevel="0" collapsed="false">
      <c r="A12" s="17" t="s">
        <v>131</v>
      </c>
      <c r="B12" s="80" t="n">
        <f aca="false">SUM($B$11:B11)</f>
        <v>0.800000000000011</v>
      </c>
      <c r="C12" s="80" t="n">
        <f aca="false">SUM($B$11:C11)</f>
        <v>96.4</v>
      </c>
      <c r="D12" s="80" t="n">
        <f aca="false">SUM($B$11:D11)</f>
        <v>286.8</v>
      </c>
      <c r="E12" s="80" t="n">
        <f aca="false">SUM($B$11:E11)</f>
        <v>572</v>
      </c>
      <c r="F12" s="80" t="n">
        <f aca="false">SUM($B$11:F11)</f>
        <v>952</v>
      </c>
      <c r="G12" s="80" t="n">
        <f aca="false">SUM($B$11:G11)</f>
        <v>1426.8</v>
      </c>
      <c r="H12" s="80" t="n">
        <f aca="false">SUM($B$11:H11)</f>
        <v>1901.6</v>
      </c>
      <c r="I12" s="80" t="n">
        <f aca="false">SUM($B$11:I11)</f>
        <v>2376.4</v>
      </c>
      <c r="J12" s="80" t="n">
        <f aca="false">SUM($B$11:J11)</f>
        <v>2851.2</v>
      </c>
      <c r="K12" s="80" t="n">
        <f aca="false">SUM($B$11:K11)</f>
        <v>3326</v>
      </c>
      <c r="L12" s="80" t="n">
        <f aca="false">SUM($B$11:L11)</f>
        <v>3800.8</v>
      </c>
      <c r="M12" s="80" t="n">
        <f aca="false">SUM($B$11:M11)</f>
        <v>4275.6</v>
      </c>
    </row>
    <row r="13" customFormat="false" ht="15" hidden="false" customHeight="false" outlineLevel="0" collapsed="false">
      <c r="A13" s="2"/>
      <c r="B13" s="2"/>
      <c r="C13" s="2"/>
      <c r="D13" s="2"/>
      <c r="E13" s="2"/>
      <c r="F13" s="2"/>
      <c r="G13" s="2"/>
      <c r="H13" s="2"/>
      <c r="I13" s="2"/>
      <c r="J13" s="2"/>
      <c r="K13" s="2"/>
      <c r="L13" s="2"/>
      <c r="M13" s="2"/>
    </row>
    <row r="14" customFormat="false" ht="15" hidden="false" customHeight="false" outlineLevel="0" collapsed="false">
      <c r="A14" s="2"/>
      <c r="B14" s="2"/>
      <c r="C14" s="2"/>
      <c r="D14" s="2"/>
      <c r="E14" s="2"/>
      <c r="F14" s="2"/>
      <c r="G14" s="2"/>
      <c r="H14" s="2"/>
      <c r="I14" s="2"/>
      <c r="J14" s="2"/>
      <c r="K14" s="2"/>
      <c r="L14" s="2"/>
      <c r="M14" s="2"/>
    </row>
    <row r="15" customFormat="false" ht="21.75" hidden="false" customHeight="true" outlineLevel="0" collapsed="false">
      <c r="A15" s="12" t="s">
        <v>470</v>
      </c>
      <c r="B15" s="12"/>
      <c r="C15" s="12"/>
      <c r="D15" s="12"/>
      <c r="E15" s="12"/>
      <c r="F15" s="12"/>
      <c r="G15" s="12"/>
      <c r="H15" s="12"/>
      <c r="I15" s="12"/>
      <c r="J15" s="12"/>
      <c r="K15" s="12"/>
      <c r="L15" s="12"/>
      <c r="M15" s="12"/>
    </row>
    <row r="16" customFormat="false" ht="15" hidden="false" customHeight="false" outlineLevel="0" collapsed="false">
      <c r="A16" s="13" t="s">
        <v>471</v>
      </c>
      <c r="B16" s="78" t="n">
        <f aca="false">Assumptions!$B$9</f>
        <v>500</v>
      </c>
      <c r="C16" s="78" t="n">
        <f aca="false">Assumptions!$B$9</f>
        <v>500</v>
      </c>
      <c r="D16" s="78" t="n">
        <f aca="false">Assumptions!$B$9</f>
        <v>500</v>
      </c>
      <c r="E16" s="78" t="n">
        <f aca="false">Assumptions!$B$9</f>
        <v>500</v>
      </c>
      <c r="F16" s="78" t="n">
        <f aca="false">Assumptions!$B$9</f>
        <v>500</v>
      </c>
      <c r="G16" s="78" t="n">
        <f aca="false">Assumptions!$B$9</f>
        <v>500</v>
      </c>
      <c r="H16" s="78" t="n">
        <f aca="false">Assumptions!$B$9</f>
        <v>500</v>
      </c>
      <c r="I16" s="78" t="n">
        <f aca="false">Assumptions!$B$9</f>
        <v>500</v>
      </c>
      <c r="J16" s="78" t="n">
        <f aca="false">Assumptions!$B$9</f>
        <v>500</v>
      </c>
      <c r="K16" s="78" t="n">
        <f aca="false">Assumptions!$B$9</f>
        <v>500</v>
      </c>
      <c r="L16" s="78" t="n">
        <f aca="false">Assumptions!$B$9</f>
        <v>500</v>
      </c>
      <c r="M16" s="78" t="n">
        <f aca="false">Assumptions!$B$9</f>
        <v>500</v>
      </c>
    </row>
    <row r="17" customFormat="false" ht="15" hidden="false" customHeight="false" outlineLevel="0" collapsed="false">
      <c r="A17" s="15" t="s">
        <v>472</v>
      </c>
      <c r="B17" s="81" t="n">
        <f aca="false">IF(B$3&lt;=Assumptions!$B$12,0,Assumptions!$B$10)</f>
        <v>0</v>
      </c>
      <c r="C17" s="81" t="n">
        <f aca="false">IF(C$3&lt;=Assumptions!$B$12,0,Assumptions!$B$10)</f>
        <v>10</v>
      </c>
      <c r="D17" s="81" t="n">
        <f aca="false">IF(D$3&lt;=Assumptions!$B$12,0,Assumptions!$B$10)</f>
        <v>10</v>
      </c>
      <c r="E17" s="81" t="n">
        <f aca="false">IF(E$3&lt;=Assumptions!$B$12,0,Assumptions!$B$10)</f>
        <v>10</v>
      </c>
      <c r="F17" s="81" t="n">
        <f aca="false">IF(F$3&lt;=Assumptions!$B$12,0,Assumptions!$B$10)</f>
        <v>10</v>
      </c>
      <c r="G17" s="81" t="n">
        <f aca="false">IF(G$3&lt;=Assumptions!$B$12,0,Assumptions!$B$10)</f>
        <v>10</v>
      </c>
      <c r="H17" s="81" t="n">
        <f aca="false">IF(H$3&lt;=Assumptions!$B$12,0,Assumptions!$B$10)</f>
        <v>10</v>
      </c>
      <c r="I17" s="81" t="n">
        <f aca="false">IF(I$3&lt;=Assumptions!$B$12,0,Assumptions!$B$10)</f>
        <v>10</v>
      </c>
      <c r="J17" s="81" t="n">
        <f aca="false">IF(J$3&lt;=Assumptions!$B$12,0,Assumptions!$B$10)</f>
        <v>10</v>
      </c>
      <c r="K17" s="81" t="n">
        <f aca="false">IF(K$3&lt;=Assumptions!$B$12,0,Assumptions!$B$10)</f>
        <v>10</v>
      </c>
      <c r="L17" s="81" t="n">
        <f aca="false">IF(L$3&lt;=Assumptions!$B$12,0,Assumptions!$B$10)</f>
        <v>10</v>
      </c>
      <c r="M17" s="81" t="n">
        <f aca="false">IF(M$3&lt;=Assumptions!$B$12,0,Assumptions!$B$10)</f>
        <v>10</v>
      </c>
    </row>
    <row r="18" customFormat="false" ht="15" hidden="false" customHeight="false" outlineLevel="0" collapsed="false">
      <c r="A18" s="15" t="s">
        <v>468</v>
      </c>
      <c r="B18" s="81" t="n">
        <f aca="false">MIN(MAX(B$3-Assumptions!$B$12,0),Assumptions!$B$11)*Assumptions!$B$10</f>
        <v>0</v>
      </c>
      <c r="C18" s="81" t="n">
        <f aca="false">MIN(MAX(C$3-Assumptions!$B$12,0),Assumptions!$B$11)*Assumptions!$B$10</f>
        <v>10</v>
      </c>
      <c r="D18" s="81" t="n">
        <f aca="false">MIN(MAX(D$3-Assumptions!$B$12,0),Assumptions!$B$11)*Assumptions!$B$10</f>
        <v>20</v>
      </c>
      <c r="E18" s="81" t="n">
        <f aca="false">MIN(MAX(E$3-Assumptions!$B$12,0),Assumptions!$B$11)*Assumptions!$B$10</f>
        <v>30</v>
      </c>
      <c r="F18" s="81" t="n">
        <f aca="false">MIN(MAX(F$3-Assumptions!$B$12,0),Assumptions!$B$11)*Assumptions!$B$10</f>
        <v>40</v>
      </c>
      <c r="G18" s="81" t="n">
        <f aca="false">MIN(MAX(G$3-Assumptions!$B$12,0),Assumptions!$B$11)*Assumptions!$B$10</f>
        <v>50</v>
      </c>
      <c r="H18" s="81" t="n">
        <f aca="false">MIN(MAX(H$3-Assumptions!$B$12,0),Assumptions!$B$11)*Assumptions!$B$10</f>
        <v>60</v>
      </c>
      <c r="I18" s="81" t="n">
        <f aca="false">MIN(MAX(I$3-Assumptions!$B$12,0),Assumptions!$B$11)*Assumptions!$B$10</f>
        <v>60</v>
      </c>
      <c r="J18" s="81" t="n">
        <f aca="false">MIN(MAX(J$3-Assumptions!$B$12,0),Assumptions!$B$11)*Assumptions!$B$10</f>
        <v>60</v>
      </c>
      <c r="K18" s="81" t="n">
        <f aca="false">MIN(MAX(K$3-Assumptions!$B$12,0),Assumptions!$B$11)*Assumptions!$B$10</f>
        <v>60</v>
      </c>
      <c r="L18" s="81" t="n">
        <f aca="false">MIN(MAX(L$3-Assumptions!$B$12,0),Assumptions!$B$11)*Assumptions!$B$10</f>
        <v>60</v>
      </c>
      <c r="M18" s="81" t="n">
        <f aca="false">MIN(MAX(M$3-Assumptions!$B$12,0),Assumptions!$B$11)*Assumptions!$B$10</f>
        <v>60</v>
      </c>
    </row>
    <row r="19" customFormat="false" ht="15" hidden="false" customHeight="false" outlineLevel="0" collapsed="false">
      <c r="A19" s="15" t="s">
        <v>73</v>
      </c>
      <c r="B19" s="79" t="n">
        <f aca="false">B18*Assumptions!$B$13</f>
        <v>0</v>
      </c>
      <c r="C19" s="79" t="n">
        <f aca="false">C18*Assumptions!$B$13</f>
        <v>100</v>
      </c>
      <c r="D19" s="79" t="n">
        <f aca="false">D18*Assumptions!$B$13</f>
        <v>200</v>
      </c>
      <c r="E19" s="79" t="n">
        <f aca="false">E18*Assumptions!$B$13</f>
        <v>300</v>
      </c>
      <c r="F19" s="79" t="n">
        <f aca="false">F18*Assumptions!$B$13</f>
        <v>400</v>
      </c>
      <c r="G19" s="79" t="n">
        <f aca="false">G18*Assumptions!$B$13</f>
        <v>500</v>
      </c>
      <c r="H19" s="79" t="n">
        <f aca="false">H18*Assumptions!$B$13</f>
        <v>600</v>
      </c>
      <c r="I19" s="79" t="n">
        <f aca="false">I18*Assumptions!$B$13</f>
        <v>600</v>
      </c>
      <c r="J19" s="79" t="n">
        <f aca="false">J18*Assumptions!$B$13</f>
        <v>600</v>
      </c>
      <c r="K19" s="79" t="n">
        <f aca="false">K18*Assumptions!$B$13</f>
        <v>600</v>
      </c>
      <c r="L19" s="79" t="n">
        <f aca="false">L18*Assumptions!$B$13</f>
        <v>600</v>
      </c>
      <c r="M19" s="79" t="n">
        <f aca="false">M18*Assumptions!$B$13</f>
        <v>600</v>
      </c>
    </row>
    <row r="20" customFormat="false" ht="15" hidden="false" customHeight="false" outlineLevel="0" collapsed="false">
      <c r="A20" s="15" t="s">
        <v>473</v>
      </c>
      <c r="B20" s="79" t="n">
        <f aca="false">B18*(Assumptions!$B$13*Assumptions!$B$17+Assumptions!$B$18+Assumptions!$B$13*Assumptions!$B$19)</f>
        <v>0</v>
      </c>
      <c r="C20" s="79" t="n">
        <f aca="false">C18*(Assumptions!$B$13*Assumptions!$B$17+Assumptions!$B$18+Assumptions!$B$13*Assumptions!$B$19)</f>
        <v>6.6</v>
      </c>
      <c r="D20" s="79" t="n">
        <f aca="false">D18*(Assumptions!$B$13*Assumptions!$B$17+Assumptions!$B$18+Assumptions!$B$13*Assumptions!$B$19)</f>
        <v>13.2</v>
      </c>
      <c r="E20" s="79" t="n">
        <f aca="false">E18*(Assumptions!$B$13*Assumptions!$B$17+Assumptions!$B$18+Assumptions!$B$13*Assumptions!$B$19)</f>
        <v>19.8</v>
      </c>
      <c r="F20" s="79" t="n">
        <f aca="false">F18*(Assumptions!$B$13*Assumptions!$B$17+Assumptions!$B$18+Assumptions!$B$13*Assumptions!$B$19)</f>
        <v>26.4</v>
      </c>
      <c r="G20" s="79" t="n">
        <f aca="false">G18*(Assumptions!$B$13*Assumptions!$B$17+Assumptions!$B$18+Assumptions!$B$13*Assumptions!$B$19)</f>
        <v>33</v>
      </c>
      <c r="H20" s="79" t="n">
        <f aca="false">H18*(Assumptions!$B$13*Assumptions!$B$17+Assumptions!$B$18+Assumptions!$B$13*Assumptions!$B$19)</f>
        <v>39.6</v>
      </c>
      <c r="I20" s="79" t="n">
        <f aca="false">I18*(Assumptions!$B$13*Assumptions!$B$17+Assumptions!$B$18+Assumptions!$B$13*Assumptions!$B$19)</f>
        <v>39.6</v>
      </c>
      <c r="J20" s="79" t="n">
        <f aca="false">J18*(Assumptions!$B$13*Assumptions!$B$17+Assumptions!$B$18+Assumptions!$B$13*Assumptions!$B$19)</f>
        <v>39.6</v>
      </c>
      <c r="K20" s="79" t="n">
        <f aca="false">K18*(Assumptions!$B$13*Assumptions!$B$17+Assumptions!$B$18+Assumptions!$B$13*Assumptions!$B$19)</f>
        <v>39.6</v>
      </c>
      <c r="L20" s="79" t="n">
        <f aca="false">L18*(Assumptions!$B$13*Assumptions!$B$17+Assumptions!$B$18+Assumptions!$B$13*Assumptions!$B$19)</f>
        <v>39.6</v>
      </c>
      <c r="M20" s="79" t="n">
        <f aca="false">M18*(Assumptions!$B$13*Assumptions!$B$17+Assumptions!$B$18+Assumptions!$B$13*Assumptions!$B$19)</f>
        <v>39.6</v>
      </c>
    </row>
    <row r="21" customFormat="false" ht="15" hidden="false" customHeight="false" outlineLevel="0" collapsed="false">
      <c r="A21" s="15" t="s">
        <v>474</v>
      </c>
      <c r="B21" s="79" t="n">
        <f aca="false">(B18+B16)*Assumptions!$B$14*(Assumptions!$B$15/1000000*IF(B$4&lt;Assumptions!$B$24,Assumptions!$B$20,Assumptions!$B$22)+Assumptions!$B$16/1000000*IF(B$4&lt;Assumptions!$B$24,Assumptions!$B$21,Assumptions!$B$23))</f>
        <v>13.125</v>
      </c>
      <c r="C21" s="79" t="n">
        <f aca="false">(C18+C16)*Assumptions!$B$14*(Assumptions!$B$15/1000000*IF(C$4&lt;Assumptions!$B$24,Assumptions!$B$20,Assumptions!$B$22)+Assumptions!$B$16/1000000*IF(C$4&lt;Assumptions!$B$24,Assumptions!$B$21,Assumptions!$B$23))</f>
        <v>13.3875</v>
      </c>
      <c r="D21" s="79" t="n">
        <f aca="false">(D18+D16)*Assumptions!$B$14*(Assumptions!$B$15/1000000*IF(D$4&lt;Assumptions!$B$24,Assumptions!$B$20,Assumptions!$B$22)+Assumptions!$B$16/1000000*IF(D$4&lt;Assumptions!$B$24,Assumptions!$B$21,Assumptions!$B$23))</f>
        <v>13.65</v>
      </c>
      <c r="E21" s="79" t="n">
        <f aca="false">(E18+E16)*Assumptions!$B$14*(Assumptions!$B$15/1000000*IF(E$4&lt;Assumptions!$B$24,Assumptions!$B$20,Assumptions!$B$22)+Assumptions!$B$16/1000000*IF(E$4&lt;Assumptions!$B$24,Assumptions!$B$21,Assumptions!$B$23))</f>
        <v>13.9125</v>
      </c>
      <c r="F21" s="79" t="n">
        <f aca="false">(F18+F16)*Assumptions!$B$14*(Assumptions!$B$15/1000000*IF(F$4&lt;Assumptions!$B$24,Assumptions!$B$20,Assumptions!$B$22)+Assumptions!$B$16/1000000*IF(F$4&lt;Assumptions!$B$24,Assumptions!$B$21,Assumptions!$B$23))</f>
        <v>28.35</v>
      </c>
      <c r="G21" s="79" t="n">
        <f aca="false">(G18+G16)*Assumptions!$B$14*(Assumptions!$B$15/1000000*IF(G$4&lt;Assumptions!$B$24,Assumptions!$B$20,Assumptions!$B$22)+Assumptions!$B$16/1000000*IF(G$4&lt;Assumptions!$B$24,Assumptions!$B$21,Assumptions!$B$23))</f>
        <v>28.875</v>
      </c>
      <c r="H21" s="79" t="n">
        <f aca="false">(H18+H16)*Assumptions!$B$14*(Assumptions!$B$15/1000000*IF(H$4&lt;Assumptions!$B$24,Assumptions!$B$20,Assumptions!$B$22)+Assumptions!$B$16/1000000*IF(H$4&lt;Assumptions!$B$24,Assumptions!$B$21,Assumptions!$B$23))</f>
        <v>29.4</v>
      </c>
      <c r="I21" s="79" t="n">
        <f aca="false">(I18+I16)*Assumptions!$B$14*(Assumptions!$B$15/1000000*IF(I$4&lt;Assumptions!$B$24,Assumptions!$B$20,Assumptions!$B$22)+Assumptions!$B$16/1000000*IF(I$4&lt;Assumptions!$B$24,Assumptions!$B$21,Assumptions!$B$23))</f>
        <v>29.4</v>
      </c>
      <c r="J21" s="79" t="n">
        <f aca="false">(J18+J16)*Assumptions!$B$14*(Assumptions!$B$15/1000000*IF(J$4&lt;Assumptions!$B$24,Assumptions!$B$20,Assumptions!$B$22)+Assumptions!$B$16/1000000*IF(J$4&lt;Assumptions!$B$24,Assumptions!$B$21,Assumptions!$B$23))</f>
        <v>29.4</v>
      </c>
      <c r="K21" s="79" t="n">
        <f aca="false">(K18+K16)*Assumptions!$B$14*(Assumptions!$B$15/1000000*IF(K$4&lt;Assumptions!$B$24,Assumptions!$B$20,Assumptions!$B$22)+Assumptions!$B$16/1000000*IF(K$4&lt;Assumptions!$B$24,Assumptions!$B$21,Assumptions!$B$23))</f>
        <v>29.4</v>
      </c>
      <c r="L21" s="79" t="n">
        <f aca="false">(L18+L16)*Assumptions!$B$14*(Assumptions!$B$15/1000000*IF(L$4&lt;Assumptions!$B$24,Assumptions!$B$20,Assumptions!$B$22)+Assumptions!$B$16/1000000*IF(L$4&lt;Assumptions!$B$24,Assumptions!$B$21,Assumptions!$B$23))</f>
        <v>29.4</v>
      </c>
      <c r="M21" s="79" t="n">
        <f aca="false">(M18+M16)*Assumptions!$B$14*(Assumptions!$B$15/1000000*IF(M$4&lt;Assumptions!$B$24,Assumptions!$B$20,Assumptions!$B$22)+Assumptions!$B$16/1000000*IF(M$4&lt;Assumptions!$B$24,Assumptions!$B$21,Assumptions!$B$23))</f>
        <v>29.4</v>
      </c>
    </row>
    <row r="22" customFormat="false" ht="15" hidden="false" customHeight="false" outlineLevel="0" collapsed="false">
      <c r="A22" s="15" t="s">
        <v>85</v>
      </c>
      <c r="B22" s="79" t="n">
        <f aca="false">SUM(B20:B21)</f>
        <v>13.125</v>
      </c>
      <c r="C22" s="79" t="n">
        <f aca="false">SUM(C20:C21)</f>
        <v>19.9875</v>
      </c>
      <c r="D22" s="79" t="n">
        <f aca="false">SUM(D20:D21)</f>
        <v>26.85</v>
      </c>
      <c r="E22" s="79" t="n">
        <f aca="false">SUM(E20:E21)</f>
        <v>33.7125</v>
      </c>
      <c r="F22" s="79" t="n">
        <f aca="false">SUM(F20:F21)</f>
        <v>54.75</v>
      </c>
      <c r="G22" s="79" t="n">
        <f aca="false">SUM(G20:G21)</f>
        <v>61.875</v>
      </c>
      <c r="H22" s="79" t="n">
        <f aca="false">SUM(H20:H21)</f>
        <v>69</v>
      </c>
      <c r="I22" s="79" t="n">
        <f aca="false">SUM(I20:I21)</f>
        <v>69</v>
      </c>
      <c r="J22" s="79" t="n">
        <f aca="false">SUM(J20:J21)</f>
        <v>69</v>
      </c>
      <c r="K22" s="79" t="n">
        <f aca="false">SUM(K20:K21)</f>
        <v>69</v>
      </c>
      <c r="L22" s="79" t="n">
        <f aca="false">SUM(L20:L21)</f>
        <v>69</v>
      </c>
      <c r="M22" s="79" t="n">
        <f aca="false">SUM(M20:M21)</f>
        <v>69</v>
      </c>
    </row>
    <row r="23" customFormat="false" ht="15" hidden="false" customHeight="false" outlineLevel="0" collapsed="false">
      <c r="A23" s="15" t="s">
        <v>469</v>
      </c>
      <c r="B23" s="79" t="n">
        <f aca="false">B19-B22</f>
        <v>-13.125</v>
      </c>
      <c r="C23" s="79" t="n">
        <f aca="false">C19-C22</f>
        <v>80.0125</v>
      </c>
      <c r="D23" s="79" t="n">
        <f aca="false">D19-D22</f>
        <v>173.15</v>
      </c>
      <c r="E23" s="79" t="n">
        <f aca="false">E19-E22</f>
        <v>266.2875</v>
      </c>
      <c r="F23" s="79" t="n">
        <f aca="false">F19-F22</f>
        <v>345.25</v>
      </c>
      <c r="G23" s="79" t="n">
        <f aca="false">G19-G22</f>
        <v>438.125</v>
      </c>
      <c r="H23" s="79" t="n">
        <f aca="false">H19-H22</f>
        <v>531</v>
      </c>
      <c r="I23" s="79" t="n">
        <f aca="false">I19-I22</f>
        <v>531</v>
      </c>
      <c r="J23" s="79" t="n">
        <f aca="false">J19-J22</f>
        <v>531</v>
      </c>
      <c r="K23" s="79" t="n">
        <f aca="false">K19-K22</f>
        <v>531</v>
      </c>
      <c r="L23" s="79" t="n">
        <f aca="false">L19-L22</f>
        <v>531</v>
      </c>
      <c r="M23" s="79" t="n">
        <f aca="false">M19-M22</f>
        <v>531</v>
      </c>
    </row>
    <row r="24" customFormat="false" ht="15" hidden="false" customHeight="false" outlineLevel="0" collapsed="false">
      <c r="A24" s="15" t="s">
        <v>475</v>
      </c>
      <c r="B24" s="79" t="n">
        <f aca="false">Assumptions!$B$28</f>
        <v>65</v>
      </c>
      <c r="C24" s="79" t="n">
        <f aca="false">Assumptions!$B$28</f>
        <v>65</v>
      </c>
      <c r="D24" s="79" t="n">
        <f aca="false">Assumptions!$B$28</f>
        <v>65</v>
      </c>
      <c r="E24" s="79" t="n">
        <f aca="false">Assumptions!$B$28</f>
        <v>65</v>
      </c>
      <c r="F24" s="79" t="n">
        <f aca="false">Assumptions!$B$28</f>
        <v>65</v>
      </c>
      <c r="G24" s="79" t="n">
        <f aca="false">Assumptions!$B$28</f>
        <v>65</v>
      </c>
      <c r="H24" s="79" t="n">
        <f aca="false">Assumptions!$B$28</f>
        <v>65</v>
      </c>
      <c r="I24" s="79" t="n">
        <f aca="false">Assumptions!$B$28</f>
        <v>65</v>
      </c>
      <c r="J24" s="79" t="n">
        <f aca="false">Assumptions!$B$28</f>
        <v>65</v>
      </c>
      <c r="K24" s="79" t="n">
        <f aca="false">Assumptions!$B$28</f>
        <v>65</v>
      </c>
      <c r="L24" s="79" t="n">
        <f aca="false">Assumptions!$B$28</f>
        <v>65</v>
      </c>
      <c r="M24" s="79" t="n">
        <f aca="false">Assumptions!$B$28</f>
        <v>65</v>
      </c>
    </row>
    <row r="25" customFormat="false" ht="15" hidden="false" customHeight="false" outlineLevel="0" collapsed="false">
      <c r="A25" s="15" t="s">
        <v>476</v>
      </c>
      <c r="B25" s="79" t="n">
        <v>0</v>
      </c>
      <c r="C25" s="79" t="n">
        <v>0</v>
      </c>
      <c r="D25" s="79" t="n">
        <v>0</v>
      </c>
      <c r="E25" s="79" t="n">
        <v>0</v>
      </c>
      <c r="F25" s="79" t="n">
        <v>0</v>
      </c>
      <c r="G25" s="79" t="n">
        <v>0</v>
      </c>
      <c r="H25" s="79" t="n">
        <v>0</v>
      </c>
      <c r="I25" s="79" t="n">
        <v>0</v>
      </c>
      <c r="J25" s="79" t="n">
        <v>0</v>
      </c>
      <c r="K25" s="79" t="n">
        <v>0</v>
      </c>
      <c r="L25" s="79" t="n">
        <v>0</v>
      </c>
      <c r="M25" s="79" t="n">
        <v>0</v>
      </c>
    </row>
    <row r="26" customFormat="false" ht="15" hidden="false" customHeight="false" outlineLevel="0" collapsed="false">
      <c r="A26" s="60" t="s">
        <v>125</v>
      </c>
      <c r="B26" s="82" t="n">
        <f aca="false">B23-B24-B25</f>
        <v>-78.125</v>
      </c>
      <c r="C26" s="82" t="n">
        <f aca="false">C23-C24-C25</f>
        <v>15.0125</v>
      </c>
      <c r="D26" s="82" t="n">
        <f aca="false">D23-D24-D25</f>
        <v>108.15</v>
      </c>
      <c r="E26" s="82" t="n">
        <f aca="false">E23-E24-E25</f>
        <v>201.2875</v>
      </c>
      <c r="F26" s="82" t="n">
        <f aca="false">F23-F24-F25</f>
        <v>280.25</v>
      </c>
      <c r="G26" s="82" t="n">
        <f aca="false">G23-G24-G25</f>
        <v>373.125</v>
      </c>
      <c r="H26" s="82" t="n">
        <f aca="false">H23-H24-H25</f>
        <v>466</v>
      </c>
      <c r="I26" s="82" t="n">
        <f aca="false">I23-I24-I25</f>
        <v>466</v>
      </c>
      <c r="J26" s="82" t="n">
        <f aca="false">J23-J24-J25</f>
        <v>466</v>
      </c>
      <c r="K26" s="82" t="n">
        <f aca="false">K23-K24-K25</f>
        <v>466</v>
      </c>
      <c r="L26" s="82" t="n">
        <f aca="false">L23-L24-L25</f>
        <v>466</v>
      </c>
      <c r="M26" s="82" t="n">
        <f aca="false">M23-M24-M25</f>
        <v>466</v>
      </c>
    </row>
    <row r="27" customFormat="false" ht="15" hidden="false" customHeight="false" outlineLevel="0" collapsed="false">
      <c r="A27" s="60" t="s">
        <v>131</v>
      </c>
      <c r="B27" s="82" t="n">
        <f aca="false">Assumptions!$B$31+SUM($B$26:B26)</f>
        <v>-78.125</v>
      </c>
      <c r="C27" s="82" t="n">
        <f aca="false">Assumptions!$B$31+SUM($B$26:C26)</f>
        <v>-63.1125</v>
      </c>
      <c r="D27" s="82" t="n">
        <f aca="false">Assumptions!$B$31+SUM($B$26:D26)</f>
        <v>45.0375</v>
      </c>
      <c r="E27" s="82" t="n">
        <f aca="false">Assumptions!$B$31+SUM($B$26:E26)</f>
        <v>246.325</v>
      </c>
      <c r="F27" s="82" t="n">
        <f aca="false">Assumptions!$B$31+SUM($B$26:F26)</f>
        <v>526.575</v>
      </c>
      <c r="G27" s="82" t="n">
        <f aca="false">Assumptions!$B$31+SUM($B$26:G26)</f>
        <v>899.7</v>
      </c>
      <c r="H27" s="82" t="n">
        <f aca="false">Assumptions!$B$31+SUM($B$26:H26)</f>
        <v>1365.7</v>
      </c>
      <c r="I27" s="82" t="n">
        <f aca="false">Assumptions!$B$31+SUM($B$26:I26)</f>
        <v>1831.7</v>
      </c>
      <c r="J27" s="82" t="n">
        <f aca="false">Assumptions!$B$31+SUM($B$26:J26)</f>
        <v>2297.7</v>
      </c>
      <c r="K27" s="82" t="n">
        <f aca="false">Assumptions!$B$31+SUM($B$26:K26)</f>
        <v>2763.7</v>
      </c>
      <c r="L27" s="82" t="n">
        <f aca="false">Assumptions!$B$31+SUM($B$26:L26)</f>
        <v>3229.7</v>
      </c>
      <c r="M27" s="82" t="n">
        <f aca="false">Assumptions!$B$31+SUM($B$26:M26)</f>
        <v>3695.7</v>
      </c>
    </row>
    <row r="28" customFormat="false" ht="15" hidden="false" customHeight="false" outlineLevel="0" collapsed="false">
      <c r="A28" s="15" t="s">
        <v>477</v>
      </c>
      <c r="B28" s="15" t="str">
        <f aca="false">IF(B26&gt;0,"Yes","No")</f>
        <v>No</v>
      </c>
      <c r="C28" s="15" t="str">
        <f aca="false">IF(C26&gt;0,"Yes","No")</f>
        <v>Yes</v>
      </c>
      <c r="D28" s="15" t="str">
        <f aca="false">IF(D26&gt;0,"Yes","No")</f>
        <v>Yes</v>
      </c>
      <c r="E28" s="15" t="str">
        <f aca="false">IF(E26&gt;0,"Yes","No")</f>
        <v>Yes</v>
      </c>
      <c r="F28" s="15" t="str">
        <f aca="false">IF(F26&gt;0,"Yes","No")</f>
        <v>Yes</v>
      </c>
      <c r="G28" s="15" t="str">
        <f aca="false">IF(G26&gt;0,"Yes","No")</f>
        <v>Yes</v>
      </c>
      <c r="H28" s="15" t="str">
        <f aca="false">IF(H26&gt;0,"Yes","No")</f>
        <v>Yes</v>
      </c>
      <c r="I28" s="15" t="str">
        <f aca="false">IF(I26&gt;0,"Yes","No")</f>
        <v>Yes</v>
      </c>
      <c r="J28" s="15" t="str">
        <f aca="false">IF(J26&gt;0,"Yes","No")</f>
        <v>Yes</v>
      </c>
      <c r="K28" s="15" t="str">
        <f aca="false">IF(K26&gt;0,"Yes","No")</f>
        <v>Yes</v>
      </c>
      <c r="L28" s="15" t="str">
        <f aca="false">IF(L26&gt;0,"Yes","No")</f>
        <v>Yes</v>
      </c>
      <c r="M28" s="15" t="str">
        <f aca="false">IF(M26&gt;0,"Yes","No")</f>
        <v>Yes</v>
      </c>
    </row>
    <row r="29" customFormat="false" ht="15" hidden="false" customHeight="false" outlineLevel="0" collapsed="false">
      <c r="A29" s="17" t="s">
        <v>478</v>
      </c>
      <c r="B29" s="17" t="str">
        <f aca="false">IF(B27&gt;=0,"Yes","No")</f>
        <v>No</v>
      </c>
      <c r="C29" s="17" t="str">
        <f aca="false">IF(C27&gt;=0,"Yes","No")</f>
        <v>No</v>
      </c>
      <c r="D29" s="17" t="str">
        <f aca="false">IF(D27&gt;=0,"Yes","No")</f>
        <v>Yes</v>
      </c>
      <c r="E29" s="17" t="str">
        <f aca="false">IF(E27&gt;=0,"Yes","No")</f>
        <v>Yes</v>
      </c>
      <c r="F29" s="17" t="str">
        <f aca="false">IF(F27&gt;=0,"Yes","No")</f>
        <v>Yes</v>
      </c>
      <c r="G29" s="17" t="str">
        <f aca="false">IF(G27&gt;=0,"Yes","No")</f>
        <v>Yes</v>
      </c>
      <c r="H29" s="17" t="str">
        <f aca="false">IF(H27&gt;=0,"Yes","No")</f>
        <v>Yes</v>
      </c>
      <c r="I29" s="17" t="str">
        <f aca="false">IF(I27&gt;=0,"Yes","No")</f>
        <v>Yes</v>
      </c>
      <c r="J29" s="17" t="str">
        <f aca="false">IF(J27&gt;=0,"Yes","No")</f>
        <v>Yes</v>
      </c>
      <c r="K29" s="17" t="str">
        <f aca="false">IF(K27&gt;=0,"Yes","No")</f>
        <v>Yes</v>
      </c>
      <c r="L29" s="17" t="str">
        <f aca="false">IF(L27&gt;=0,"Yes","No")</f>
        <v>Yes</v>
      </c>
      <c r="M29" s="17" t="str">
        <f aca="false">IF(M27&gt;=0,"Yes","No")</f>
        <v>Yes</v>
      </c>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21.75" hidden="false" customHeight="true" outlineLevel="0" collapsed="false">
      <c r="A32" s="12" t="s">
        <v>479</v>
      </c>
      <c r="B32" s="12"/>
      <c r="C32" s="12"/>
      <c r="D32" s="12"/>
      <c r="E32" s="12"/>
      <c r="F32" s="12"/>
      <c r="G32" s="12"/>
      <c r="H32" s="12"/>
      <c r="I32" s="12"/>
      <c r="J32" s="12"/>
      <c r="K32" s="12"/>
      <c r="L32" s="12"/>
      <c r="M32" s="12"/>
    </row>
    <row r="33" customFormat="false" ht="15" hidden="false" customHeight="false" outlineLevel="0" collapsed="false">
      <c r="A33" s="13" t="s">
        <v>471</v>
      </c>
      <c r="B33" s="78" t="n">
        <f aca="false">B16</f>
        <v>500</v>
      </c>
      <c r="C33" s="78" t="n">
        <f aca="false">C16</f>
        <v>500</v>
      </c>
      <c r="D33" s="78" t="n">
        <f aca="false">D16</f>
        <v>500</v>
      </c>
      <c r="E33" s="78" t="n">
        <f aca="false">E16</f>
        <v>500</v>
      </c>
      <c r="F33" s="78" t="n">
        <f aca="false">F16</f>
        <v>500</v>
      </c>
      <c r="G33" s="78" t="n">
        <f aca="false">G16</f>
        <v>500</v>
      </c>
      <c r="H33" s="78" t="n">
        <f aca="false">H16</f>
        <v>500</v>
      </c>
      <c r="I33" s="78" t="n">
        <f aca="false">I16</f>
        <v>500</v>
      </c>
      <c r="J33" s="78" t="n">
        <f aca="false">J16</f>
        <v>500</v>
      </c>
      <c r="K33" s="78" t="n">
        <f aca="false">K16</f>
        <v>500</v>
      </c>
      <c r="L33" s="78" t="n">
        <f aca="false">L16</f>
        <v>500</v>
      </c>
      <c r="M33" s="78" t="n">
        <f aca="false">M16</f>
        <v>500</v>
      </c>
    </row>
    <row r="34" customFormat="false" ht="15" hidden="false" customHeight="false" outlineLevel="0" collapsed="false">
      <c r="A34" s="15" t="s">
        <v>472</v>
      </c>
      <c r="B34" s="81" t="n">
        <f aca="false">B17</f>
        <v>0</v>
      </c>
      <c r="C34" s="81" t="n">
        <f aca="false">C17</f>
        <v>10</v>
      </c>
      <c r="D34" s="81" t="n">
        <f aca="false">D17</f>
        <v>10</v>
      </c>
      <c r="E34" s="81" t="n">
        <f aca="false">E17</f>
        <v>10</v>
      </c>
      <c r="F34" s="81" t="n">
        <f aca="false">F17</f>
        <v>10</v>
      </c>
      <c r="G34" s="81" t="n">
        <f aca="false">G17</f>
        <v>10</v>
      </c>
      <c r="H34" s="81" t="n">
        <f aca="false">H17</f>
        <v>10</v>
      </c>
      <c r="I34" s="81" t="n">
        <f aca="false">I17</f>
        <v>10</v>
      </c>
      <c r="J34" s="81" t="n">
        <f aca="false">J17</f>
        <v>10</v>
      </c>
      <c r="K34" s="81" t="n">
        <f aca="false">K17</f>
        <v>10</v>
      </c>
      <c r="L34" s="81" t="n">
        <f aca="false">L17</f>
        <v>10</v>
      </c>
      <c r="M34" s="81" t="n">
        <f aca="false">M17</f>
        <v>10</v>
      </c>
    </row>
    <row r="35" customFormat="false" ht="15" hidden="false" customHeight="false" outlineLevel="0" collapsed="false">
      <c r="A35" s="15" t="s">
        <v>468</v>
      </c>
      <c r="B35" s="81" t="n">
        <f aca="false">B18</f>
        <v>0</v>
      </c>
      <c r="C35" s="81" t="n">
        <f aca="false">C18</f>
        <v>10</v>
      </c>
      <c r="D35" s="81" t="n">
        <f aca="false">D18</f>
        <v>20</v>
      </c>
      <c r="E35" s="81" t="n">
        <f aca="false">E18</f>
        <v>30</v>
      </c>
      <c r="F35" s="81" t="n">
        <f aca="false">F18</f>
        <v>40</v>
      </c>
      <c r="G35" s="81" t="n">
        <f aca="false">G18</f>
        <v>50</v>
      </c>
      <c r="H35" s="81" t="n">
        <f aca="false">H18</f>
        <v>60</v>
      </c>
      <c r="I35" s="81" t="n">
        <f aca="false">I18</f>
        <v>60</v>
      </c>
      <c r="J35" s="81" t="n">
        <f aca="false">J18</f>
        <v>60</v>
      </c>
      <c r="K35" s="81" t="n">
        <f aca="false">K18</f>
        <v>60</v>
      </c>
      <c r="L35" s="81" t="n">
        <f aca="false">L18</f>
        <v>60</v>
      </c>
      <c r="M35" s="81" t="n">
        <f aca="false">M18</f>
        <v>60</v>
      </c>
    </row>
    <row r="36" customFormat="false" ht="15" hidden="false" customHeight="false" outlineLevel="0" collapsed="false">
      <c r="A36" s="15" t="s">
        <v>73</v>
      </c>
      <c r="B36" s="79" t="n">
        <f aca="false">B19</f>
        <v>0</v>
      </c>
      <c r="C36" s="79" t="n">
        <f aca="false">C19</f>
        <v>100</v>
      </c>
      <c r="D36" s="79" t="n">
        <f aca="false">D19</f>
        <v>200</v>
      </c>
      <c r="E36" s="79" t="n">
        <f aca="false">E19</f>
        <v>300</v>
      </c>
      <c r="F36" s="79" t="n">
        <f aca="false">F19</f>
        <v>400</v>
      </c>
      <c r="G36" s="79" t="n">
        <f aca="false">G19</f>
        <v>500</v>
      </c>
      <c r="H36" s="79" t="n">
        <f aca="false">H19</f>
        <v>600</v>
      </c>
      <c r="I36" s="79" t="n">
        <f aca="false">I19</f>
        <v>600</v>
      </c>
      <c r="J36" s="79" t="n">
        <f aca="false">J19</f>
        <v>600</v>
      </c>
      <c r="K36" s="79" t="n">
        <f aca="false">K19</f>
        <v>600</v>
      </c>
      <c r="L36" s="79" t="n">
        <f aca="false">L19</f>
        <v>600</v>
      </c>
      <c r="M36" s="79" t="n">
        <f aca="false">M19</f>
        <v>600</v>
      </c>
    </row>
    <row r="37" customFormat="false" ht="15" hidden="false" customHeight="false" outlineLevel="0" collapsed="false">
      <c r="A37" s="15" t="s">
        <v>85</v>
      </c>
      <c r="B37" s="79" t="n">
        <f aca="false">B22</f>
        <v>13.125</v>
      </c>
      <c r="C37" s="79" t="n">
        <f aca="false">C22</f>
        <v>19.9875</v>
      </c>
      <c r="D37" s="79" t="n">
        <f aca="false">D22</f>
        <v>26.85</v>
      </c>
      <c r="E37" s="79" t="n">
        <f aca="false">E22</f>
        <v>33.7125</v>
      </c>
      <c r="F37" s="79" t="n">
        <f aca="false">F22</f>
        <v>54.75</v>
      </c>
      <c r="G37" s="79" t="n">
        <f aca="false">G22</f>
        <v>61.875</v>
      </c>
      <c r="H37" s="79" t="n">
        <f aca="false">H22</f>
        <v>69</v>
      </c>
      <c r="I37" s="79" t="n">
        <f aca="false">I22</f>
        <v>69</v>
      </c>
      <c r="J37" s="79" t="n">
        <f aca="false">J22</f>
        <v>69</v>
      </c>
      <c r="K37" s="79" t="n">
        <f aca="false">K22</f>
        <v>69</v>
      </c>
      <c r="L37" s="79" t="n">
        <f aca="false">L22</f>
        <v>69</v>
      </c>
      <c r="M37" s="79" t="n">
        <f aca="false">M22</f>
        <v>69</v>
      </c>
    </row>
    <row r="38" customFormat="false" ht="15" hidden="false" customHeight="false" outlineLevel="0" collapsed="false">
      <c r="A38" s="15" t="s">
        <v>469</v>
      </c>
      <c r="B38" s="79" t="n">
        <f aca="false">B23</f>
        <v>-13.125</v>
      </c>
      <c r="C38" s="79" t="n">
        <f aca="false">C23</f>
        <v>80.0125</v>
      </c>
      <c r="D38" s="79" t="n">
        <f aca="false">D23</f>
        <v>173.15</v>
      </c>
      <c r="E38" s="79" t="n">
        <f aca="false">E23</f>
        <v>266.2875</v>
      </c>
      <c r="F38" s="79" t="n">
        <f aca="false">F23</f>
        <v>345.25</v>
      </c>
      <c r="G38" s="79" t="n">
        <f aca="false">G23</f>
        <v>438.125</v>
      </c>
      <c r="H38" s="79" t="n">
        <f aca="false">H23</f>
        <v>531</v>
      </c>
      <c r="I38" s="79" t="n">
        <f aca="false">I23</f>
        <v>531</v>
      </c>
      <c r="J38" s="79" t="n">
        <f aca="false">J23</f>
        <v>531</v>
      </c>
      <c r="K38" s="79" t="n">
        <f aca="false">K23</f>
        <v>531</v>
      </c>
      <c r="L38" s="79" t="n">
        <f aca="false">L23</f>
        <v>531</v>
      </c>
      <c r="M38" s="79" t="n">
        <f aca="false">M23</f>
        <v>531</v>
      </c>
    </row>
    <row r="39" customFormat="false" ht="15" hidden="false" customHeight="false" outlineLevel="0" collapsed="false">
      <c r="A39" s="15" t="s">
        <v>24</v>
      </c>
      <c r="B39" s="79" t="n">
        <f aca="false">B24</f>
        <v>65</v>
      </c>
      <c r="C39" s="79" t="n">
        <f aca="false">C24</f>
        <v>65</v>
      </c>
      <c r="D39" s="79" t="n">
        <f aca="false">D24</f>
        <v>65</v>
      </c>
      <c r="E39" s="79" t="n">
        <f aca="false">E24</f>
        <v>65</v>
      </c>
      <c r="F39" s="79" t="n">
        <f aca="false">F24</f>
        <v>65</v>
      </c>
      <c r="G39" s="79" t="n">
        <f aca="false">G24</f>
        <v>65</v>
      </c>
      <c r="H39" s="79" t="n">
        <f aca="false">H24</f>
        <v>65</v>
      </c>
      <c r="I39" s="79" t="n">
        <f aca="false">I24</f>
        <v>65</v>
      </c>
      <c r="J39" s="79" t="n">
        <f aca="false">J24</f>
        <v>65</v>
      </c>
      <c r="K39" s="79" t="n">
        <f aca="false">K24</f>
        <v>65</v>
      </c>
      <c r="L39" s="79" t="n">
        <f aca="false">L24</f>
        <v>65</v>
      </c>
      <c r="M39" s="79" t="n">
        <f aca="false">M24</f>
        <v>65</v>
      </c>
    </row>
    <row r="40" customFormat="false" ht="15" hidden="false" customHeight="false" outlineLevel="0" collapsed="false">
      <c r="A40" s="15" t="s">
        <v>476</v>
      </c>
      <c r="B40" s="79" t="n">
        <f aca="false">Assumptions!$B$30*Assumptions!$B$10</f>
        <v>185.75</v>
      </c>
      <c r="C40" s="79" t="n">
        <f aca="false">Assumptions!$B$30*Assumptions!$B$10</f>
        <v>185.75</v>
      </c>
      <c r="D40" s="79" t="n">
        <f aca="false">Assumptions!$B$30*Assumptions!$B$10</f>
        <v>185.75</v>
      </c>
      <c r="E40" s="79" t="n">
        <f aca="false">Assumptions!$B$30*Assumptions!$B$10</f>
        <v>185.75</v>
      </c>
      <c r="F40" s="79" t="n">
        <f aca="false">Assumptions!$B$30*Assumptions!$B$10</f>
        <v>185.75</v>
      </c>
      <c r="G40" s="79" t="n">
        <f aca="false">Assumptions!$B$30*Assumptions!$B$10</f>
        <v>185.75</v>
      </c>
      <c r="H40" s="79" t="n">
        <f aca="false">Assumptions!$B$30*Assumptions!$B$10</f>
        <v>185.75</v>
      </c>
      <c r="I40" s="79" t="n">
        <f aca="false">Assumptions!$B$30*Assumptions!$B$10</f>
        <v>185.75</v>
      </c>
      <c r="J40" s="79" t="n">
        <f aca="false">Assumptions!$B$30*Assumptions!$B$10</f>
        <v>185.75</v>
      </c>
      <c r="K40" s="79" t="n">
        <f aca="false">Assumptions!$B$30*Assumptions!$B$10</f>
        <v>185.75</v>
      </c>
      <c r="L40" s="79" t="n">
        <f aca="false">Assumptions!$B$30*Assumptions!$B$10</f>
        <v>185.75</v>
      </c>
      <c r="M40" s="79" t="n">
        <f aca="false">Assumptions!$B$30*Assumptions!$B$10</f>
        <v>185.75</v>
      </c>
    </row>
    <row r="41" customFormat="false" ht="15" hidden="false" customHeight="false" outlineLevel="0" collapsed="false">
      <c r="A41" s="69" t="s">
        <v>125</v>
      </c>
      <c r="B41" s="83" t="n">
        <f aca="false">B38-B39-B40</f>
        <v>-263.875</v>
      </c>
      <c r="C41" s="83" t="n">
        <f aca="false">C38-C39-C40</f>
        <v>-170.7375</v>
      </c>
      <c r="D41" s="83" t="n">
        <f aca="false">D38-D39-D40</f>
        <v>-77.6</v>
      </c>
      <c r="E41" s="83" t="n">
        <f aca="false">E38-E39-E40</f>
        <v>15.5375</v>
      </c>
      <c r="F41" s="83" t="n">
        <f aca="false">F38-F39-F40</f>
        <v>94.5</v>
      </c>
      <c r="G41" s="83" t="n">
        <f aca="false">G38-G39-G40</f>
        <v>187.375</v>
      </c>
      <c r="H41" s="83" t="n">
        <f aca="false">H38-H39-H40</f>
        <v>280.25</v>
      </c>
      <c r="I41" s="83" t="n">
        <f aca="false">I38-I39-I40</f>
        <v>280.25</v>
      </c>
      <c r="J41" s="83" t="n">
        <f aca="false">J38-J39-J40</f>
        <v>280.25</v>
      </c>
      <c r="K41" s="83" t="n">
        <f aca="false">K38-K39-K40</f>
        <v>280.25</v>
      </c>
      <c r="L41" s="83" t="n">
        <f aca="false">L38-L39-L40</f>
        <v>280.25</v>
      </c>
      <c r="M41" s="83" t="n">
        <f aca="false">M38-M39-M40</f>
        <v>280.25</v>
      </c>
    </row>
    <row r="42" customFormat="false" ht="15" hidden="false" customHeight="false" outlineLevel="0" collapsed="false">
      <c r="A42" s="69" t="s">
        <v>131</v>
      </c>
      <c r="B42" s="83" t="n">
        <f aca="false">Assumptions!$B$31+SUM($B$41:B41)</f>
        <v>-263.875</v>
      </c>
      <c r="C42" s="83" t="n">
        <f aca="false">Assumptions!$B$31+SUM($B$41:C41)</f>
        <v>-434.6125</v>
      </c>
      <c r="D42" s="83" t="n">
        <f aca="false">Assumptions!$B$31+SUM($B$41:D41)</f>
        <v>-512.2125</v>
      </c>
      <c r="E42" s="83" t="n">
        <f aca="false">Assumptions!$B$31+SUM($B$41:E41)</f>
        <v>-496.675</v>
      </c>
      <c r="F42" s="83" t="n">
        <f aca="false">Assumptions!$B$31+SUM($B$41:F41)</f>
        <v>-402.175</v>
      </c>
      <c r="G42" s="83" t="n">
        <f aca="false">Assumptions!$B$31+SUM($B$41:G41)</f>
        <v>-214.8</v>
      </c>
      <c r="H42" s="83" t="n">
        <f aca="false">Assumptions!$B$31+SUM($B$41:H41)</f>
        <v>65.45</v>
      </c>
      <c r="I42" s="83" t="n">
        <f aca="false">Assumptions!$B$31+SUM($B$41:I41)</f>
        <v>345.7</v>
      </c>
      <c r="J42" s="83" t="n">
        <f aca="false">Assumptions!$B$31+SUM($B$41:J41)</f>
        <v>625.95</v>
      </c>
      <c r="K42" s="83" t="n">
        <f aca="false">Assumptions!$B$31+SUM($B$41:K41)</f>
        <v>906.2</v>
      </c>
      <c r="L42" s="83" t="n">
        <f aca="false">Assumptions!$B$31+SUM($B$41:L41)</f>
        <v>1186.45</v>
      </c>
      <c r="M42" s="83" t="n">
        <f aca="false">Assumptions!$B$31+SUM($B$41:M41)</f>
        <v>1466.7</v>
      </c>
    </row>
    <row r="43" customFormat="false" ht="15" hidden="false" customHeight="false" outlineLevel="0" collapsed="false">
      <c r="A43" s="15" t="s">
        <v>477</v>
      </c>
      <c r="B43" s="15" t="str">
        <f aca="false">IF(B41&gt;0,"Yes","No")</f>
        <v>No</v>
      </c>
      <c r="C43" s="15" t="str">
        <f aca="false">IF(C41&gt;0,"Yes","No")</f>
        <v>No</v>
      </c>
      <c r="D43" s="15" t="str">
        <f aca="false">IF(D41&gt;0,"Yes","No")</f>
        <v>No</v>
      </c>
      <c r="E43" s="15" t="str">
        <f aca="false">IF(E41&gt;0,"Yes","No")</f>
        <v>Yes</v>
      </c>
      <c r="F43" s="15" t="str">
        <f aca="false">IF(F41&gt;0,"Yes","No")</f>
        <v>Yes</v>
      </c>
      <c r="G43" s="15" t="str">
        <f aca="false">IF(G41&gt;0,"Yes","No")</f>
        <v>Yes</v>
      </c>
      <c r="H43" s="15" t="str">
        <f aca="false">IF(H41&gt;0,"Yes","No")</f>
        <v>Yes</v>
      </c>
      <c r="I43" s="15" t="str">
        <f aca="false">IF(I41&gt;0,"Yes","No")</f>
        <v>Yes</v>
      </c>
      <c r="J43" s="15" t="str">
        <f aca="false">IF(J41&gt;0,"Yes","No")</f>
        <v>Yes</v>
      </c>
      <c r="K43" s="15" t="str">
        <f aca="false">IF(K41&gt;0,"Yes","No")</f>
        <v>Yes</v>
      </c>
      <c r="L43" s="15" t="str">
        <f aca="false">IF(L41&gt;0,"Yes","No")</f>
        <v>Yes</v>
      </c>
      <c r="M43" s="15" t="str">
        <f aca="false">IF(M41&gt;0,"Yes","No")</f>
        <v>Yes</v>
      </c>
    </row>
    <row r="44" customFormat="false" ht="15" hidden="false" customHeight="false" outlineLevel="0" collapsed="false">
      <c r="A44" s="17" t="s">
        <v>478</v>
      </c>
      <c r="B44" s="17" t="str">
        <f aca="false">IF(B42&gt;=0,"Yes","No")</f>
        <v>No</v>
      </c>
      <c r="C44" s="17" t="str">
        <f aca="false">IF(C42&gt;=0,"Yes","No")</f>
        <v>No</v>
      </c>
      <c r="D44" s="17" t="str">
        <f aca="false">IF(D42&gt;=0,"Yes","No")</f>
        <v>No</v>
      </c>
      <c r="E44" s="17" t="str">
        <f aca="false">IF(E42&gt;=0,"Yes","No")</f>
        <v>No</v>
      </c>
      <c r="F44" s="17" t="str">
        <f aca="false">IF(F42&gt;=0,"Yes","No")</f>
        <v>No</v>
      </c>
      <c r="G44" s="17" t="str">
        <f aca="false">IF(G42&gt;=0,"Yes","No")</f>
        <v>No</v>
      </c>
      <c r="H44" s="17" t="str">
        <f aca="false">IF(H42&gt;=0,"Yes","No")</f>
        <v>Yes</v>
      </c>
      <c r="I44" s="17" t="str">
        <f aca="false">IF(I42&gt;=0,"Yes","No")</f>
        <v>Yes</v>
      </c>
      <c r="J44" s="17" t="str">
        <f aca="false">IF(J42&gt;=0,"Yes","No")</f>
        <v>Yes</v>
      </c>
      <c r="K44" s="17" t="str">
        <f aca="false">IF(K42&gt;=0,"Yes","No")</f>
        <v>Yes</v>
      </c>
      <c r="L44" s="17" t="str">
        <f aca="false">IF(L42&gt;=0,"Yes","No")</f>
        <v>Yes</v>
      </c>
      <c r="M44" s="17" t="str">
        <f aca="false">IF(M42&gt;=0,"Yes","No")</f>
        <v>Yes</v>
      </c>
    </row>
    <row r="45" customFormat="false" ht="15" hidden="false" customHeight="false" outlineLevel="0" collapsed="false">
      <c r="A45" s="2"/>
      <c r="B45" s="2"/>
      <c r="C45" s="2"/>
      <c r="D45" s="2"/>
      <c r="E45" s="2"/>
      <c r="F45" s="2"/>
      <c r="G45" s="2"/>
      <c r="H45" s="2"/>
      <c r="I45" s="2"/>
      <c r="J45" s="2"/>
      <c r="K45" s="2"/>
      <c r="L45" s="2"/>
      <c r="M45" s="2"/>
    </row>
    <row r="46" customFormat="false" ht="15" hidden="false" customHeight="false" outlineLevel="0" collapsed="false">
      <c r="A46" s="2"/>
      <c r="B46" s="2"/>
      <c r="C46" s="2"/>
      <c r="D46" s="2"/>
      <c r="E46" s="2"/>
      <c r="F46" s="2"/>
      <c r="G46" s="2"/>
      <c r="H46" s="2"/>
      <c r="I46" s="2"/>
      <c r="J46" s="2"/>
      <c r="K46" s="2"/>
      <c r="L46" s="2"/>
      <c r="M46" s="2"/>
    </row>
    <row r="47" customFormat="false" ht="15" hidden="false" customHeight="false" outlineLevel="0" collapsed="false">
      <c r="A47" s="2"/>
      <c r="B47" s="2"/>
      <c r="C47" s="2"/>
      <c r="D47" s="2"/>
      <c r="E47" s="2"/>
      <c r="F47" s="2"/>
      <c r="G47" s="2"/>
      <c r="H47" s="2"/>
      <c r="I47" s="2"/>
      <c r="J47" s="2"/>
      <c r="K47" s="2"/>
      <c r="L47" s="2"/>
      <c r="M47" s="2"/>
    </row>
    <row r="48" customFormat="false" ht="25.5" hidden="false" customHeight="true" outlineLevel="0" collapsed="false">
      <c r="A48" s="4" t="s">
        <v>2</v>
      </c>
      <c r="B48" s="4" t="s">
        <v>49</v>
      </c>
      <c r="C48" s="4" t="s">
        <v>4</v>
      </c>
      <c r="D48" s="4" t="s">
        <v>5</v>
      </c>
      <c r="E48" s="2"/>
      <c r="F48" s="2"/>
      <c r="G48" s="2"/>
      <c r="H48" s="2"/>
      <c r="I48" s="2"/>
      <c r="J48" s="2"/>
      <c r="K48" s="2"/>
      <c r="L48" s="2"/>
      <c r="M48" s="2"/>
    </row>
    <row r="49" customFormat="false" ht="15" hidden="false" customHeight="false" outlineLevel="0" collapsed="false">
      <c r="A49" s="2" t="str">
        <f aca="false">TEXT(B$4,"mmm yy")</f>
        <v>Sep 26</v>
      </c>
      <c r="B49" s="6" t="n">
        <f aca="false">B$11</f>
        <v>0.800000000000011</v>
      </c>
      <c r="C49" s="6" t="n">
        <f aca="false">B$26</f>
        <v>-78.125</v>
      </c>
      <c r="D49" s="6" t="n">
        <f aca="false">B$41</f>
        <v>-263.875</v>
      </c>
      <c r="E49" s="2"/>
      <c r="F49" s="2"/>
      <c r="G49" s="2"/>
      <c r="H49" s="2"/>
      <c r="I49" s="2"/>
      <c r="J49" s="2"/>
      <c r="K49" s="2"/>
      <c r="L49" s="2"/>
      <c r="M49" s="2"/>
    </row>
    <row r="50" customFormat="false" ht="15" hidden="false" customHeight="false" outlineLevel="0" collapsed="false">
      <c r="A50" s="2" t="str">
        <f aca="false">TEXT(C$4,"mmm yy")</f>
        <v>Oct 26</v>
      </c>
      <c r="B50" s="6" t="n">
        <f aca="false">C$11</f>
        <v>95.6</v>
      </c>
      <c r="C50" s="6" t="n">
        <f aca="false">C$26</f>
        <v>15.0125</v>
      </c>
      <c r="D50" s="6" t="n">
        <f aca="false">C$41</f>
        <v>-170.7375</v>
      </c>
      <c r="E50" s="2"/>
      <c r="F50" s="2"/>
      <c r="G50" s="2"/>
      <c r="H50" s="2"/>
      <c r="I50" s="2"/>
      <c r="J50" s="2"/>
      <c r="K50" s="2"/>
      <c r="L50" s="2"/>
      <c r="M50" s="2"/>
    </row>
    <row r="51" customFormat="false" ht="15" hidden="false" customHeight="false" outlineLevel="0" collapsed="false">
      <c r="A51" s="2" t="str">
        <f aca="false">TEXT(D$4,"mmm yy")</f>
        <v>Nov 26</v>
      </c>
      <c r="B51" s="6" t="n">
        <f aca="false">D$11</f>
        <v>190.4</v>
      </c>
      <c r="C51" s="6" t="n">
        <f aca="false">D$26</f>
        <v>108.15</v>
      </c>
      <c r="D51" s="6" t="n">
        <f aca="false">D$41</f>
        <v>-77.6</v>
      </c>
      <c r="E51" s="2"/>
      <c r="F51" s="2"/>
      <c r="G51" s="2"/>
      <c r="H51" s="2"/>
      <c r="I51" s="2"/>
      <c r="J51" s="2"/>
      <c r="K51" s="2"/>
      <c r="L51" s="2"/>
      <c r="M51" s="2"/>
    </row>
    <row r="52" customFormat="false" ht="15" hidden="false" customHeight="false" outlineLevel="0" collapsed="false">
      <c r="A52" s="2" t="str">
        <f aca="false">TEXT(E$4,"mmm yy")</f>
        <v>Dec 26</v>
      </c>
      <c r="B52" s="6" t="n">
        <f aca="false">E$11</f>
        <v>285.2</v>
      </c>
      <c r="C52" s="6" t="n">
        <f aca="false">E$26</f>
        <v>201.2875</v>
      </c>
      <c r="D52" s="6" t="n">
        <f aca="false">E$41</f>
        <v>15.5375</v>
      </c>
      <c r="E52" s="2"/>
      <c r="F52" s="2"/>
      <c r="G52" s="2"/>
      <c r="H52" s="2"/>
      <c r="I52" s="2"/>
      <c r="J52" s="2"/>
      <c r="K52" s="2"/>
      <c r="L52" s="2"/>
      <c r="M52" s="2"/>
    </row>
    <row r="53" customFormat="false" ht="15" hidden="false" customHeight="false" outlineLevel="0" collapsed="false">
      <c r="A53" s="2" t="str">
        <f aca="false">TEXT(F$4,"mmm yy")</f>
        <v>Jan 27</v>
      </c>
      <c r="B53" s="6" t="n">
        <f aca="false">F$11</f>
        <v>380</v>
      </c>
      <c r="C53" s="6" t="n">
        <f aca="false">F$26</f>
        <v>280.25</v>
      </c>
      <c r="D53" s="6" t="n">
        <f aca="false">F$41</f>
        <v>94.5</v>
      </c>
      <c r="E53" s="2"/>
      <c r="F53" s="2"/>
      <c r="G53" s="2"/>
      <c r="H53" s="2"/>
      <c r="I53" s="2"/>
      <c r="J53" s="2"/>
      <c r="K53" s="2"/>
      <c r="L53" s="2"/>
      <c r="M53" s="2"/>
    </row>
    <row r="54" customFormat="false" ht="15" hidden="false" customHeight="false" outlineLevel="0" collapsed="false">
      <c r="A54" s="2" t="str">
        <f aca="false">TEXT(G$4,"mmm yy")</f>
        <v>Feb 27</v>
      </c>
      <c r="B54" s="6" t="n">
        <f aca="false">G$11</f>
        <v>474.8</v>
      </c>
      <c r="C54" s="6" t="n">
        <f aca="false">G$26</f>
        <v>373.125</v>
      </c>
      <c r="D54" s="6" t="n">
        <f aca="false">G$41</f>
        <v>187.375</v>
      </c>
      <c r="E54" s="2"/>
      <c r="F54" s="2"/>
      <c r="G54" s="2"/>
      <c r="H54" s="2"/>
      <c r="I54" s="2"/>
      <c r="J54" s="2"/>
      <c r="K54" s="2"/>
      <c r="L54" s="2"/>
      <c r="M54" s="2"/>
    </row>
    <row r="55" customFormat="false" ht="15" hidden="false" customHeight="false" outlineLevel="0" collapsed="false">
      <c r="A55" s="2" t="str">
        <f aca="false">TEXT(H$4,"mmm yy")</f>
        <v>Mar 27</v>
      </c>
      <c r="B55" s="6" t="n">
        <f aca="false">H$11</f>
        <v>474.8</v>
      </c>
      <c r="C55" s="6" t="n">
        <f aca="false">H$26</f>
        <v>466</v>
      </c>
      <c r="D55" s="6" t="n">
        <f aca="false">H$41</f>
        <v>280.25</v>
      </c>
      <c r="E55" s="2"/>
      <c r="F55" s="2"/>
      <c r="G55" s="2"/>
      <c r="H55" s="2"/>
      <c r="I55" s="2"/>
      <c r="J55" s="2"/>
      <c r="K55" s="2"/>
      <c r="L55" s="2"/>
      <c r="M55" s="2"/>
    </row>
    <row r="56" customFormat="false" ht="15" hidden="false" customHeight="false" outlineLevel="0" collapsed="false">
      <c r="A56" s="2" t="str">
        <f aca="false">TEXT(I$4,"mmm yy")</f>
        <v>Apr 27</v>
      </c>
      <c r="B56" s="6" t="n">
        <f aca="false">I$11</f>
        <v>474.8</v>
      </c>
      <c r="C56" s="6" t="n">
        <f aca="false">I$26</f>
        <v>466</v>
      </c>
      <c r="D56" s="6" t="n">
        <f aca="false">I$41</f>
        <v>280.25</v>
      </c>
      <c r="E56" s="2"/>
      <c r="F56" s="2"/>
      <c r="G56" s="2"/>
      <c r="H56" s="2"/>
      <c r="I56" s="2"/>
      <c r="J56" s="2"/>
      <c r="K56" s="2"/>
      <c r="L56" s="2"/>
      <c r="M56" s="2"/>
    </row>
    <row r="57" customFormat="false" ht="15" hidden="false" customHeight="false" outlineLevel="0" collapsed="false">
      <c r="A57" s="2" t="str">
        <f aca="false">TEXT(J$4,"mmm yy")</f>
        <v>May 27</v>
      </c>
      <c r="B57" s="6" t="n">
        <f aca="false">J$11</f>
        <v>474.8</v>
      </c>
      <c r="C57" s="6" t="n">
        <f aca="false">J$26</f>
        <v>466</v>
      </c>
      <c r="D57" s="6" t="n">
        <f aca="false">J$41</f>
        <v>280.25</v>
      </c>
      <c r="E57" s="2"/>
      <c r="F57" s="2"/>
      <c r="G57" s="2"/>
      <c r="H57" s="2"/>
      <c r="I57" s="2"/>
      <c r="J57" s="2"/>
      <c r="K57" s="2"/>
      <c r="L57" s="2"/>
      <c r="M57" s="2"/>
    </row>
    <row r="58" customFormat="false" ht="15" hidden="false" customHeight="false" outlineLevel="0" collapsed="false">
      <c r="A58" s="2" t="str">
        <f aca="false">TEXT(K$4,"mmm yy")</f>
        <v>Jun 27</v>
      </c>
      <c r="B58" s="6" t="n">
        <f aca="false">K$11</f>
        <v>474.8</v>
      </c>
      <c r="C58" s="6" t="n">
        <f aca="false">K$26</f>
        <v>466</v>
      </c>
      <c r="D58" s="6" t="n">
        <f aca="false">K$41</f>
        <v>280.25</v>
      </c>
      <c r="E58" s="2"/>
      <c r="F58" s="2"/>
      <c r="G58" s="2"/>
      <c r="H58" s="2"/>
      <c r="I58" s="2"/>
      <c r="J58" s="2"/>
      <c r="K58" s="2"/>
      <c r="L58" s="2"/>
      <c r="M58" s="2"/>
    </row>
    <row r="59" customFormat="false" ht="15" hidden="false" customHeight="false" outlineLevel="0" collapsed="false">
      <c r="A59" s="2" t="str">
        <f aca="false">TEXT(L$4,"mmm yy")</f>
        <v>Jul 27</v>
      </c>
      <c r="B59" s="6" t="n">
        <f aca="false">L$11</f>
        <v>474.8</v>
      </c>
      <c r="C59" s="6" t="n">
        <f aca="false">L$26</f>
        <v>466</v>
      </c>
      <c r="D59" s="6" t="n">
        <f aca="false">L$41</f>
        <v>280.25</v>
      </c>
      <c r="E59" s="2"/>
      <c r="F59" s="2"/>
      <c r="G59" s="2"/>
      <c r="H59" s="2"/>
      <c r="I59" s="2"/>
      <c r="J59" s="2"/>
      <c r="K59" s="2"/>
      <c r="L59" s="2"/>
      <c r="M59" s="2"/>
    </row>
    <row r="60" customFormat="false" ht="15" hidden="false" customHeight="false" outlineLevel="0" collapsed="false">
      <c r="A60" s="2" t="str">
        <f aca="false">TEXT(M$4,"mmm yy")</f>
        <v>Aug 27</v>
      </c>
      <c r="B60" s="6" t="n">
        <f aca="false">M$11</f>
        <v>474.8</v>
      </c>
      <c r="C60" s="6" t="n">
        <f aca="false">M$26</f>
        <v>466</v>
      </c>
      <c r="D60" s="6" t="n">
        <f aca="false">M$41</f>
        <v>280.25</v>
      </c>
      <c r="E60" s="2"/>
      <c r="F60" s="2"/>
      <c r="G60" s="2"/>
      <c r="H60" s="2"/>
      <c r="I60" s="2"/>
      <c r="J60" s="2"/>
      <c r="K60" s="2"/>
      <c r="L60" s="2"/>
      <c r="M60" s="2"/>
    </row>
  </sheetData>
  <mergeCells count="5">
    <mergeCell ref="A1:M1"/>
    <mergeCell ref="A2:M2"/>
    <mergeCell ref="A6:M6"/>
    <mergeCell ref="A15:M15"/>
    <mergeCell ref="A32:M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3" min="2" style="0" width="12"/>
  </cols>
  <sheetData>
    <row r="1" customFormat="false" ht="22.05" hidden="false" customHeight="false" outlineLevel="0" collapsed="false">
      <c r="A1" s="1" t="s">
        <v>480</v>
      </c>
      <c r="B1" s="1"/>
      <c r="C1" s="1"/>
      <c r="D1" s="1"/>
      <c r="E1" s="1"/>
      <c r="F1" s="1"/>
      <c r="G1" s="1"/>
      <c r="H1" s="1"/>
      <c r="I1" s="1"/>
      <c r="J1" s="1"/>
      <c r="K1" s="1"/>
      <c r="L1" s="1"/>
      <c r="M1" s="1"/>
    </row>
    <row r="2" customFormat="false" ht="61.5" hidden="false" customHeight="true" outlineLevel="0" collapsed="false">
      <c r="A2" s="21" t="s">
        <v>481</v>
      </c>
      <c r="B2" s="21"/>
      <c r="C2" s="21"/>
      <c r="D2" s="21"/>
      <c r="E2" s="21"/>
      <c r="F2" s="21"/>
      <c r="G2" s="21"/>
      <c r="H2" s="21"/>
      <c r="I2" s="21"/>
      <c r="J2" s="21"/>
      <c r="K2" s="21"/>
      <c r="L2" s="21"/>
      <c r="M2" s="21"/>
    </row>
    <row r="4" customFormat="false" ht="15" hidden="false" customHeight="false" outlineLevel="0" collapsed="false">
      <c r="A4" s="22" t="s">
        <v>482</v>
      </c>
      <c r="B4" s="22"/>
      <c r="C4" s="22"/>
      <c r="D4" s="22"/>
      <c r="E4" s="22"/>
      <c r="F4" s="22"/>
      <c r="G4" s="22"/>
      <c r="H4" s="22"/>
      <c r="I4" s="22"/>
      <c r="J4" s="22"/>
      <c r="K4" s="22"/>
      <c r="L4" s="22"/>
      <c r="M4" s="22"/>
    </row>
    <row r="5" customFormat="false" ht="15" hidden="false" customHeight="false" outlineLevel="0" collapsed="false">
      <c r="A5" s="4" t="s">
        <v>195</v>
      </c>
      <c r="B5" s="4" t="s">
        <v>196</v>
      </c>
      <c r="C5" s="4" t="s">
        <v>197</v>
      </c>
    </row>
    <row r="6" customFormat="false" ht="15" hidden="false" customHeight="false" outlineLevel="0" collapsed="false">
      <c r="A6" s="13" t="s">
        <v>483</v>
      </c>
      <c r="B6" s="53" t="n">
        <v>100</v>
      </c>
      <c r="C6" s="13" t="s">
        <v>215</v>
      </c>
    </row>
    <row r="7" customFormat="false" ht="15" hidden="false" customHeight="false" outlineLevel="0" collapsed="false">
      <c r="A7" s="13" t="s">
        <v>484</v>
      </c>
      <c r="B7" s="53" t="n">
        <v>3</v>
      </c>
      <c r="C7" s="13" t="s">
        <v>207</v>
      </c>
    </row>
    <row r="8" customFormat="false" ht="15" hidden="false" customHeight="false" outlineLevel="0" collapsed="false">
      <c r="A8" s="13" t="s">
        <v>485</v>
      </c>
      <c r="B8" s="53" t="n">
        <v>250</v>
      </c>
      <c r="C8" s="13" t="s">
        <v>215</v>
      </c>
    </row>
    <row r="9" customFormat="false" ht="15" hidden="false" customHeight="false" outlineLevel="0" collapsed="false">
      <c r="A9" s="13" t="s">
        <v>163</v>
      </c>
      <c r="B9" s="84" t="n">
        <f aca="false">Assumptions!B8</f>
        <v>0.02</v>
      </c>
      <c r="C9" s="13" t="s">
        <v>486</v>
      </c>
    </row>
    <row r="10" customFormat="false" ht="15" hidden="false" customHeight="false" outlineLevel="0" collapsed="false">
      <c r="A10" s="13" t="s">
        <v>169</v>
      </c>
      <c r="B10" s="85" t="n">
        <f aca="false">Assumptions!B11</f>
        <v>6</v>
      </c>
      <c r="C10" s="13" t="s">
        <v>487</v>
      </c>
    </row>
    <row r="11" customFormat="false" ht="15" hidden="false" customHeight="false" outlineLevel="0" collapsed="false">
      <c r="A11" s="13" t="s">
        <v>475</v>
      </c>
      <c r="B11" s="46" t="n">
        <f aca="false">Assumptions!B28</f>
        <v>65</v>
      </c>
      <c r="C11" s="13" t="s">
        <v>488</v>
      </c>
    </row>
    <row r="12" customFormat="false" ht="15" hidden="false" customHeight="false" outlineLevel="0" collapsed="false">
      <c r="A12" s="13" t="s">
        <v>489</v>
      </c>
      <c r="B12" s="46" t="n">
        <f aca="false">'Price Sensitivity'!B7</f>
        <v>10</v>
      </c>
      <c r="C12" s="46" t="n">
        <f aca="false">'Price Sensitivity'!C7</f>
        <v>7</v>
      </c>
      <c r="D12" s="46" t="n">
        <f aca="false">'Price Sensitivity'!D7</f>
        <v>5</v>
      </c>
    </row>
    <row r="14" customFormat="false" ht="15" hidden="false" customHeight="false" outlineLevel="0" collapsed="false">
      <c r="A14" s="22" t="s">
        <v>490</v>
      </c>
      <c r="B14" s="22"/>
      <c r="C14" s="22"/>
      <c r="D14" s="22"/>
      <c r="E14" s="22"/>
      <c r="F14" s="22"/>
      <c r="G14" s="22"/>
      <c r="H14" s="22"/>
      <c r="I14" s="22"/>
      <c r="J14" s="22"/>
      <c r="K14" s="22"/>
      <c r="L14" s="22"/>
      <c r="M14" s="22"/>
    </row>
    <row r="15" customFormat="false" ht="15" hidden="false" customHeight="false" outlineLevel="0" collapsed="false">
      <c r="A15" s="4" t="s">
        <v>466</v>
      </c>
      <c r="B15" s="86" t="n">
        <f aca="false">'Forecast 12M'!B$3</f>
        <v>1</v>
      </c>
      <c r="C15" s="86" t="n">
        <f aca="false">'Forecast 12M'!C$3</f>
        <v>2</v>
      </c>
      <c r="D15" s="86" t="n">
        <f aca="false">'Forecast 12M'!D$3</f>
        <v>3</v>
      </c>
      <c r="E15" s="86" t="n">
        <f aca="false">'Forecast 12M'!E$3</f>
        <v>4</v>
      </c>
      <c r="F15" s="86" t="n">
        <f aca="false">'Forecast 12M'!F$3</f>
        <v>5</v>
      </c>
      <c r="G15" s="86" t="n">
        <f aca="false">'Forecast 12M'!G$3</f>
        <v>6</v>
      </c>
      <c r="H15" s="86" t="n">
        <f aca="false">'Forecast 12M'!H$3</f>
        <v>7</v>
      </c>
      <c r="I15" s="86" t="n">
        <f aca="false">'Forecast 12M'!I$3</f>
        <v>8</v>
      </c>
      <c r="J15" s="86" t="n">
        <f aca="false">'Forecast 12M'!J$3</f>
        <v>9</v>
      </c>
      <c r="K15" s="86" t="n">
        <f aca="false">'Forecast 12M'!K$3</f>
        <v>10</v>
      </c>
      <c r="L15" s="86" t="n">
        <f aca="false">'Forecast 12M'!L$3</f>
        <v>11</v>
      </c>
      <c r="M15" s="86" t="n">
        <f aca="false">'Forecast 12M'!M$3</f>
        <v>12</v>
      </c>
    </row>
    <row r="16" customFormat="false" ht="15" hidden="false" customHeight="false" outlineLevel="0" collapsed="false">
      <c r="A16" s="4" t="s">
        <v>2</v>
      </c>
      <c r="B16" s="77" t="n">
        <f aca="false">'Forecast 12M'!B$4</f>
        <v>46266</v>
      </c>
      <c r="C16" s="77" t="n">
        <f aca="false">'Forecast 12M'!C$4</f>
        <v>46296</v>
      </c>
      <c r="D16" s="77" t="n">
        <f aca="false">'Forecast 12M'!D$4</f>
        <v>46327</v>
      </c>
      <c r="E16" s="77" t="n">
        <f aca="false">'Forecast 12M'!E$4</f>
        <v>46357</v>
      </c>
      <c r="F16" s="77" t="n">
        <f aca="false">'Forecast 12M'!F$4</f>
        <v>46388</v>
      </c>
      <c r="G16" s="77" t="n">
        <f aca="false">'Forecast 12M'!G$4</f>
        <v>46419</v>
      </c>
      <c r="H16" s="77" t="n">
        <f aca="false">'Forecast 12M'!H$4</f>
        <v>46447</v>
      </c>
      <c r="I16" s="77" t="n">
        <f aca="false">'Forecast 12M'!I$4</f>
        <v>46478</v>
      </c>
      <c r="J16" s="77" t="n">
        <f aca="false">'Forecast 12M'!J$4</f>
        <v>46508</v>
      </c>
      <c r="K16" s="77" t="n">
        <f aca="false">'Forecast 12M'!K$4</f>
        <v>46539</v>
      </c>
      <c r="L16" s="77" t="n">
        <f aca="false">'Forecast 12M'!L$4</f>
        <v>46569</v>
      </c>
      <c r="M16" s="77" t="n">
        <f aca="false">'Forecast 12M'!M$4</f>
        <v>46600</v>
      </c>
    </row>
    <row r="17" customFormat="false" ht="15" hidden="false" customHeight="false" outlineLevel="0" collapsed="false">
      <c r="A17" s="13" t="s">
        <v>491</v>
      </c>
      <c r="B17" s="87" t="n">
        <f aca="false">IF(OR(B15&lt;=$B$7,$B$7&gt;=12),$B$6,$B$6+($B$8-$B$6)*(B15-$B$7)/(12-$B$7))</f>
        <v>100</v>
      </c>
      <c r="C17" s="87" t="n">
        <f aca="false">IF(OR(C15&lt;=$B$7,$B$7&gt;=12),$B$6,$B$6+($B$8-$B$6)*(C15-$B$7)/(12-$B$7))</f>
        <v>100</v>
      </c>
      <c r="D17" s="87" t="n">
        <f aca="false">IF(OR(D15&lt;=$B$7,$B$7&gt;=12),$B$6,$B$6+($B$8-$B$6)*(D15-$B$7)/(12-$B$7))</f>
        <v>100</v>
      </c>
      <c r="E17" s="87" t="n">
        <f aca="false">IF(OR(E15&lt;=$B$7,$B$7&gt;=12),$B$6,$B$6+($B$8-$B$6)*(E15-$B$7)/(12-$B$7))</f>
        <v>116.666666666667</v>
      </c>
      <c r="F17" s="87" t="n">
        <f aca="false">IF(OR(F15&lt;=$B$7,$B$7&gt;=12),$B$6,$B$6+($B$8-$B$6)*(F15-$B$7)/(12-$B$7))</f>
        <v>133.333333333333</v>
      </c>
      <c r="G17" s="87" t="n">
        <f aca="false">IF(OR(G15&lt;=$B$7,$B$7&gt;=12),$B$6,$B$6+($B$8-$B$6)*(G15-$B$7)/(12-$B$7))</f>
        <v>150</v>
      </c>
      <c r="H17" s="87" t="n">
        <f aca="false">IF(OR(H15&lt;=$B$7,$B$7&gt;=12),$B$6,$B$6+($B$8-$B$6)*(H15-$B$7)/(12-$B$7))</f>
        <v>166.666666666667</v>
      </c>
      <c r="I17" s="87" t="n">
        <f aca="false">IF(OR(I15&lt;=$B$7,$B$7&gt;=12),$B$6,$B$6+($B$8-$B$6)*(I15-$B$7)/(12-$B$7))</f>
        <v>183.333333333333</v>
      </c>
      <c r="J17" s="87" t="n">
        <f aca="false">IF(OR(J15&lt;=$B$7,$B$7&gt;=12),$B$6,$B$6+($B$8-$B$6)*(J15-$B$7)/(12-$B$7))</f>
        <v>200</v>
      </c>
      <c r="K17" s="87" t="n">
        <f aca="false">IF(OR(K15&lt;=$B$7,$B$7&gt;=12),$B$6,$B$6+($B$8-$B$6)*(K15-$B$7)/(12-$B$7))</f>
        <v>216.666666666667</v>
      </c>
      <c r="L17" s="87" t="n">
        <f aca="false">IF(OR(L15&lt;=$B$7,$B$7&gt;=12),$B$6,$B$6+($B$8-$B$6)*(L15-$B$7)/(12-$B$7))</f>
        <v>233.333333333333</v>
      </c>
      <c r="M17" s="87" t="n">
        <f aca="false">IF(OR(M15&lt;=$B$7,$B$7&gt;=12),$B$6,$B$6+($B$8-$B$6)*(M15-$B$7)/(12-$B$7))</f>
        <v>250</v>
      </c>
    </row>
    <row r="18" customFormat="false" ht="15" hidden="false" customHeight="false" outlineLevel="0" collapsed="false">
      <c r="A18" s="13" t="s">
        <v>492</v>
      </c>
      <c r="B18" s="88" t="n">
        <v>0</v>
      </c>
      <c r="C18" s="88" t="n">
        <f aca="false">$B$9*B20</f>
        <v>2</v>
      </c>
      <c r="D18" s="88" t="n">
        <f aca="false">$B$9*C20</f>
        <v>1.96</v>
      </c>
      <c r="E18" s="88" t="n">
        <f aca="false">$B$9*D20</f>
        <v>1.9208</v>
      </c>
      <c r="F18" s="88" t="n">
        <f aca="false">$B$9*E20</f>
        <v>2.21571733333333</v>
      </c>
      <c r="G18" s="88" t="n">
        <f aca="false">$B$9*F20</f>
        <v>2.50473632</v>
      </c>
      <c r="H18" s="88" t="n">
        <f aca="false">$B$9*G20</f>
        <v>2.78797492693333</v>
      </c>
      <c r="I18" s="88" t="n">
        <f aca="false">$B$9*H20</f>
        <v>3.065548761728</v>
      </c>
      <c r="J18" s="88" t="n">
        <f aca="false">$B$9*I20</f>
        <v>3.37757111982677</v>
      </c>
      <c r="K18" s="88" t="n">
        <f aca="false">$B$9*J20</f>
        <v>3.68255303076357</v>
      </c>
      <c r="L18" s="88" t="n">
        <f aca="false">$B$9*K20</f>
        <v>3.98065130348163</v>
      </c>
      <c r="M18" s="88" t="n">
        <f aca="false">$B$9*L20</f>
        <v>4.278685957412</v>
      </c>
    </row>
    <row r="19" customFormat="false" ht="15" hidden="false" customHeight="false" outlineLevel="0" collapsed="false">
      <c r="A19" s="13" t="s">
        <v>493</v>
      </c>
      <c r="B19" s="89" t="n">
        <f aca="false">SUM(INDEX($B18:B18,MAX(1,B15-$B$10+1)):B18)</f>
        <v>0</v>
      </c>
      <c r="C19" s="89" t="n">
        <f aca="false">SUM(INDEX($B18:C18,MAX(1,C15-$B$10+1)):C18)</f>
        <v>2</v>
      </c>
      <c r="D19" s="89" t="n">
        <f aca="false">SUM(INDEX($B18:D18,MAX(1,D15-$B$10+1)):D18)</f>
        <v>3.96</v>
      </c>
      <c r="E19" s="89" t="n">
        <f aca="false">SUM(INDEX($B18:E18,MAX(1,E15-$B$10+1)):E18)</f>
        <v>5.8808</v>
      </c>
      <c r="F19" s="89" t="n">
        <f aca="false">SUM(INDEX($B18:F18,MAX(1,F15-$B$10+1)):F18)</f>
        <v>8.09651733333333</v>
      </c>
      <c r="G19" s="89" t="n">
        <f aca="false">SUM(INDEX($B18:G18,MAX(1,G15-$B$10+1)):G18)</f>
        <v>10.6012536533333</v>
      </c>
      <c r="H19" s="89" t="n">
        <f aca="false">SUM(INDEX($B18:H18,MAX(1,H15-$B$10+1)):H18)</f>
        <v>13.3892285802667</v>
      </c>
      <c r="I19" s="89" t="n">
        <f aca="false">SUM(INDEX($B18:I18,MAX(1,I15-$B$10+1)):I18)</f>
        <v>14.4547773419947</v>
      </c>
      <c r="J19" s="89" t="n">
        <f aca="false">SUM(INDEX($B18:J18,MAX(1,J15-$B$10+1)):J18)</f>
        <v>15.8723484618214</v>
      </c>
      <c r="K19" s="89" t="n">
        <f aca="false">SUM(INDEX($B18:K18,MAX(1,K15-$B$10+1)):K18)</f>
        <v>17.634101492585</v>
      </c>
      <c r="L19" s="89" t="n">
        <f aca="false">SUM(INDEX($B18:L18,MAX(1,L15-$B$10+1)):L18)</f>
        <v>19.3990354627333</v>
      </c>
      <c r="M19" s="89" t="n">
        <f aca="false">SUM(INDEX($B18:M18,MAX(1,M15-$B$10+1)):M18)</f>
        <v>21.1729851001453</v>
      </c>
    </row>
    <row r="20" customFormat="false" ht="15" hidden="false" customHeight="false" outlineLevel="0" collapsed="false">
      <c r="A20" s="13" t="s">
        <v>494</v>
      </c>
      <c r="B20" s="87" t="n">
        <f aca="false">MAX(0,B17-B19)</f>
        <v>100</v>
      </c>
      <c r="C20" s="87" t="n">
        <f aca="false">MAX(0,C17-C19)</f>
        <v>98</v>
      </c>
      <c r="D20" s="87" t="n">
        <f aca="false">MAX(0,D17-D19)</f>
        <v>96.04</v>
      </c>
      <c r="E20" s="87" t="n">
        <f aca="false">MAX(0,E17-E19)</f>
        <v>110.785866666667</v>
      </c>
      <c r="F20" s="87" t="n">
        <f aca="false">MAX(0,F17-F19)</f>
        <v>125.236816</v>
      </c>
      <c r="G20" s="87" t="n">
        <f aca="false">MAX(0,G17-G19)</f>
        <v>139.398746346667</v>
      </c>
      <c r="H20" s="87" t="n">
        <f aca="false">MAX(0,H17-H19)</f>
        <v>153.2774380864</v>
      </c>
      <c r="I20" s="87" t="n">
        <f aca="false">MAX(0,I17-I19)</f>
        <v>168.878555991339</v>
      </c>
      <c r="J20" s="87" t="n">
        <f aca="false">MAX(0,J17-J19)</f>
        <v>184.127651538179</v>
      </c>
      <c r="K20" s="87" t="n">
        <f aca="false">MAX(0,K17-K19)</f>
        <v>199.032565174082</v>
      </c>
      <c r="L20" s="87" t="n">
        <f aca="false">MAX(0,L17-L19)</f>
        <v>213.9342978706</v>
      </c>
      <c r="M20" s="87" t="n">
        <f aca="false">MAX(0,M17-M19)</f>
        <v>228.827014899855</v>
      </c>
    </row>
    <row r="21" customFormat="false" ht="15" hidden="false" customHeight="false" outlineLevel="0" collapsed="false">
      <c r="A21" s="13" t="s">
        <v>495</v>
      </c>
      <c r="B21" s="87" t="n">
        <f aca="false">B19+B20</f>
        <v>100</v>
      </c>
      <c r="C21" s="87" t="n">
        <f aca="false">C19+C20</f>
        <v>100</v>
      </c>
      <c r="D21" s="87" t="n">
        <f aca="false">D19+D20</f>
        <v>100</v>
      </c>
      <c r="E21" s="87" t="n">
        <f aca="false">E19+E20</f>
        <v>116.666666666667</v>
      </c>
      <c r="F21" s="87" t="n">
        <f aca="false">F19+F20</f>
        <v>133.333333333333</v>
      </c>
      <c r="G21" s="87" t="n">
        <f aca="false">G19+G20</f>
        <v>150</v>
      </c>
      <c r="H21" s="87" t="n">
        <f aca="false">H19+H20</f>
        <v>166.666666666667</v>
      </c>
      <c r="I21" s="87" t="n">
        <f aca="false">I19+I20</f>
        <v>183.333333333333</v>
      </c>
      <c r="J21" s="87" t="n">
        <f aca="false">J19+J20</f>
        <v>200</v>
      </c>
      <c r="K21" s="87" t="n">
        <f aca="false">K19+K20</f>
        <v>216.666666666667</v>
      </c>
      <c r="L21" s="87" t="n">
        <f aca="false">L19+L20</f>
        <v>233.333333333333</v>
      </c>
      <c r="M21" s="87" t="n">
        <f aca="false">M19+M20</f>
        <v>250</v>
      </c>
    </row>
    <row r="22" customFormat="false" ht="15" hidden="false" customHeight="false" outlineLevel="0" collapsed="false">
      <c r="A22" s="13" t="s">
        <v>496</v>
      </c>
      <c r="B22" s="90" t="n">
        <f aca="false">IF(B16&lt;Assumptions!$B$24,'Unit Economics'!$B$9,'Unit Economics'!$B$10)</f>
        <v>0.02625</v>
      </c>
      <c r="C22" s="90" t="n">
        <f aca="false">IF(C16&lt;Assumptions!$B$24,'Unit Economics'!$B$9,'Unit Economics'!$B$10)</f>
        <v>0.02625</v>
      </c>
      <c r="D22" s="90" t="n">
        <f aca="false">IF(D16&lt;Assumptions!$B$24,'Unit Economics'!$B$9,'Unit Economics'!$B$10)</f>
        <v>0.02625</v>
      </c>
      <c r="E22" s="90" t="n">
        <f aca="false">IF(E16&lt;Assumptions!$B$24,'Unit Economics'!$B$9,'Unit Economics'!$B$10)</f>
        <v>0.02625</v>
      </c>
      <c r="F22" s="90" t="n">
        <f aca="false">IF(F16&lt;Assumptions!$B$24,'Unit Economics'!$B$9,'Unit Economics'!$B$10)</f>
        <v>0.0525</v>
      </c>
      <c r="G22" s="90" t="n">
        <f aca="false">IF(G16&lt;Assumptions!$B$24,'Unit Economics'!$B$9,'Unit Economics'!$B$10)</f>
        <v>0.0525</v>
      </c>
      <c r="H22" s="90" t="n">
        <f aca="false">IF(H16&lt;Assumptions!$B$24,'Unit Economics'!$B$9,'Unit Economics'!$B$10)</f>
        <v>0.0525</v>
      </c>
      <c r="I22" s="90" t="n">
        <f aca="false">IF(I16&lt;Assumptions!$B$24,'Unit Economics'!$B$9,'Unit Economics'!$B$10)</f>
        <v>0.0525</v>
      </c>
      <c r="J22" s="90" t="n">
        <f aca="false">IF(J16&lt;Assumptions!$B$24,'Unit Economics'!$B$9,'Unit Economics'!$B$10)</f>
        <v>0.0525</v>
      </c>
      <c r="K22" s="90" t="n">
        <f aca="false">IF(K16&lt;Assumptions!$B$24,'Unit Economics'!$B$9,'Unit Economics'!$B$10)</f>
        <v>0.0525</v>
      </c>
      <c r="L22" s="90" t="n">
        <f aca="false">IF(L16&lt;Assumptions!$B$24,'Unit Economics'!$B$9,'Unit Economics'!$B$10)</f>
        <v>0.0525</v>
      </c>
      <c r="M22" s="90" t="n">
        <f aca="false">IF(M16&lt;Assumptions!$B$24,'Unit Economics'!$B$9,'Unit Economics'!$B$10)</f>
        <v>0.0525</v>
      </c>
    </row>
    <row r="24" customFormat="false" ht="15" hidden="false" customHeight="false" outlineLevel="0" collapsed="false">
      <c r="A24" s="22" t="s">
        <v>497</v>
      </c>
      <c r="B24" s="22"/>
      <c r="C24" s="22"/>
      <c r="D24" s="22"/>
      <c r="E24" s="22"/>
      <c r="F24" s="22"/>
      <c r="G24" s="22"/>
      <c r="H24" s="22"/>
      <c r="I24" s="22"/>
      <c r="J24" s="22"/>
      <c r="K24" s="22"/>
      <c r="L24" s="22"/>
      <c r="M24" s="22"/>
    </row>
    <row r="25" customFormat="false" ht="15" hidden="false" customHeight="false" outlineLevel="0" collapsed="false">
      <c r="A25" s="13" t="str">
        <f aca="false">"Operating profit @ "&amp;TEXT($B$12,"$0.00")</f>
        <v>Operating profit @ $10.00</v>
      </c>
      <c r="B25" s="82" t="n">
        <f aca="false">B$19*($B$12-($B$12*(Assumptions!$B$17+Assumptions!$B$19)+Assumptions!$B$18))-B$21*B$22-$B$11</f>
        <v>-67.625</v>
      </c>
      <c r="C25" s="82" t="n">
        <f aca="false">C$19*($B$12-($B$12*(Assumptions!$B$17+Assumptions!$B$19)+Assumptions!$B$18))-C$21*C$22-$B$11</f>
        <v>-48.945</v>
      </c>
      <c r="D25" s="82" t="n">
        <f aca="false">D$19*($B$12-($B$12*(Assumptions!$B$17+Assumptions!$B$19)+Assumptions!$B$18))-D$21*D$22-$B$11</f>
        <v>-30.6386</v>
      </c>
      <c r="E25" s="82" t="n">
        <f aca="false">E$19*($B$12-($B$12*(Assumptions!$B$17+Assumptions!$B$19)+Assumptions!$B$18))-E$21*E$22-$B$11</f>
        <v>-13.135828</v>
      </c>
      <c r="F25" s="82" t="n">
        <f aca="false">F$19*($B$12-($B$12*(Assumptions!$B$17+Assumptions!$B$19)+Assumptions!$B$18))-F$21*F$22-$B$11</f>
        <v>3.62147189333332</v>
      </c>
      <c r="G25" s="82" t="n">
        <f aca="false">G$19*($B$12-($B$12*(Assumptions!$B$17+Assumptions!$B$19)+Assumptions!$B$18))-G$21*G$22-$B$11</f>
        <v>26.1407091221333</v>
      </c>
      <c r="H25" s="82" t="n">
        <f aca="false">H$19*($B$12-($B$12*(Assumptions!$B$17+Assumptions!$B$19)+Assumptions!$B$18))-H$21*H$22-$B$11</f>
        <v>51.3053949396907</v>
      </c>
      <c r="I25" s="82" t="n">
        <f aca="false">I$19*($B$12-($B$12*(Assumptions!$B$17+Assumptions!$B$19)+Assumptions!$B$18))-I$21*I$22-$B$11</f>
        <v>60.3826203742302</v>
      </c>
      <c r="J25" s="82" t="n">
        <f aca="false">J$19*($B$12-($B$12*(Assumptions!$B$17+Assumptions!$B$19)+Assumptions!$B$18))-J$21*J$22-$B$11</f>
        <v>72.7477346334123</v>
      </c>
      <c r="K25" s="82" t="n">
        <f aca="false">K$19*($B$12-($B$12*(Assumptions!$B$17+Assumptions!$B$19)+Assumptions!$B$18))-K$21*K$22-$B$11</f>
        <v>88.327507940744</v>
      </c>
      <c r="L25" s="82" t="n">
        <f aca="false">L$19*($B$12-($B$12*(Assumptions!$B$17+Assumptions!$B$19)+Assumptions!$B$18))-L$21*L$22-$B$11</f>
        <v>103.936991221929</v>
      </c>
      <c r="M25" s="82" t="n">
        <f aca="false">M$19*($B$12-($B$12*(Assumptions!$B$17+Assumptions!$B$19)+Assumptions!$B$18))-M$21*M$22-$B$11</f>
        <v>119.630680835357</v>
      </c>
    </row>
    <row r="26" customFormat="false" ht="15" hidden="false" customHeight="false" outlineLevel="0" collapsed="false">
      <c r="A26" s="13" t="str">
        <f aca="false">"Cumulative cash @ "&amp;TEXT($B$12,"$0.00")</f>
        <v>Cumulative cash @ $10.00</v>
      </c>
      <c r="B26" s="91" t="n">
        <f aca="false">Assumptions!$B$31+SUM($B25:B25)</f>
        <v>-67.625</v>
      </c>
      <c r="C26" s="91" t="n">
        <f aca="false">Assumptions!$B$31+SUM($B25:C25)</f>
        <v>-116.57</v>
      </c>
      <c r="D26" s="91" t="n">
        <f aca="false">Assumptions!$B$31+SUM($B25:D25)</f>
        <v>-147.2086</v>
      </c>
      <c r="E26" s="91" t="n">
        <f aca="false">Assumptions!$B$31+SUM($B25:E25)</f>
        <v>-160.344428</v>
      </c>
      <c r="F26" s="91" t="n">
        <f aca="false">Assumptions!$B$31+SUM($B25:F25)</f>
        <v>-156.722956106667</v>
      </c>
      <c r="G26" s="91" t="n">
        <f aca="false">Assumptions!$B$31+SUM($B25:G25)</f>
        <v>-130.582246984533</v>
      </c>
      <c r="H26" s="91" t="n">
        <f aca="false">Assumptions!$B$31+SUM($B25:H25)</f>
        <v>-79.2768520448427</v>
      </c>
      <c r="I26" s="91" t="n">
        <f aca="false">Assumptions!$B$31+SUM($B25:I25)</f>
        <v>-18.8942316706125</v>
      </c>
      <c r="J26" s="91" t="n">
        <f aca="false">Assumptions!$B$31+SUM($B25:J25)</f>
        <v>53.8535029627998</v>
      </c>
      <c r="K26" s="91" t="n">
        <f aca="false">Assumptions!$B$31+SUM($B25:K25)</f>
        <v>142.181010903544</v>
      </c>
      <c r="L26" s="91" t="n">
        <f aca="false">Assumptions!$B$31+SUM($B25:L25)</f>
        <v>246.118002125473</v>
      </c>
      <c r="M26" s="91" t="n">
        <f aca="false">Assumptions!$B$31+SUM($B25:M25)</f>
        <v>365.74868296083</v>
      </c>
    </row>
    <row r="27" customFormat="false" ht="15" hidden="false" customHeight="false" outlineLevel="0" collapsed="false">
      <c r="A27" s="13" t="str">
        <f aca="false">"Operating profit @ "&amp;TEXT($C$12,"$0.00")</f>
        <v>Operating profit @ $7.00</v>
      </c>
      <c r="B27" s="82" t="n">
        <f aca="false">B$19*($C$12-($C$12*(Assumptions!$B$17+Assumptions!$B$19)+Assumptions!$B$18))-B$21*B$22-$B$11</f>
        <v>-67.625</v>
      </c>
      <c r="C27" s="82" t="n">
        <f aca="false">C$19*($C$12-($C$12*(Assumptions!$B$17+Assumptions!$B$19)+Assumptions!$B$18))-C$21*C$22-$B$11</f>
        <v>-54.729</v>
      </c>
      <c r="D27" s="82" t="n">
        <f aca="false">D$19*($C$12-($C$12*(Assumptions!$B$17+Assumptions!$B$19)+Assumptions!$B$18))-D$21*D$22-$B$11</f>
        <v>-42.09092</v>
      </c>
      <c r="E27" s="82" t="n">
        <f aca="false">E$19*($C$12-($C$12*(Assumptions!$B$17+Assumptions!$B$19)+Assumptions!$B$18))-E$21*E$22-$B$11</f>
        <v>-30.1431016</v>
      </c>
      <c r="F27" s="82" t="n">
        <f aca="false">F$19*($C$12-($C$12*(Assumptions!$B$17+Assumptions!$B$19)+Assumptions!$B$18))-F$21*F$22-$B$11</f>
        <v>-19.7936562346667</v>
      </c>
      <c r="G27" s="82" t="n">
        <f aca="false">G$19*($C$12-($C$12*(Assumptions!$B$17+Assumptions!$B$19)+Assumptions!$B$18))-G$21*G$22-$B$11</f>
        <v>-4.51811644330665</v>
      </c>
      <c r="H27" s="82" t="n">
        <f aca="false">H$19*($C$12-($C$12*(Assumptions!$B$17+Assumptions!$B$19)+Assumptions!$B$18))-H$21*H$22-$B$11</f>
        <v>12.5837458855595</v>
      </c>
      <c r="I27" s="82" t="n">
        <f aca="false">I$19*($C$12-($C$12*(Assumptions!$B$17+Assumptions!$B$19)+Assumptions!$B$18))-I$21*I$22-$B$11</f>
        <v>18.5794043011816</v>
      </c>
      <c r="J27" s="82" t="n">
        <f aca="false">J$19*($C$12-($C$12*(Assumptions!$B$17+Assumptions!$B$19)+Assumptions!$B$18))-J$21*J$22-$B$11</f>
        <v>26.8449028818247</v>
      </c>
      <c r="K27" s="82" t="n">
        <f aca="false">K$19*($C$12-($C$12*(Assumptions!$B$17+Assumptions!$B$19)+Assumptions!$B$18))-K$21*K$22-$B$11</f>
        <v>37.3296864241882</v>
      </c>
      <c r="L27" s="82" t="n">
        <f aca="false">L$19*($C$12-($C$12*(Assumptions!$B$17+Assumptions!$B$19)+Assumptions!$B$18))-L$21*L$22-$B$11</f>
        <v>47.8349806637044</v>
      </c>
      <c r="M27" s="82" t="n">
        <f aca="false">M$19*($C$12-($C$12*(Assumptions!$B$17+Assumptions!$B$19)+Assumptions!$B$18))-M$21*M$22-$B$11</f>
        <v>58.398407925737</v>
      </c>
    </row>
    <row r="28" customFormat="false" ht="15" hidden="false" customHeight="false" outlineLevel="0" collapsed="false">
      <c r="A28" s="13" t="str">
        <f aca="false">"Cumulative cash @ "&amp;TEXT($C$12,"$0.00")</f>
        <v>Cumulative cash @ $7.00</v>
      </c>
      <c r="B28" s="91" t="n">
        <f aca="false">Assumptions!$B$31+SUM($B27:B27)</f>
        <v>-67.625</v>
      </c>
      <c r="C28" s="91" t="n">
        <f aca="false">Assumptions!$B$31+SUM($B27:C27)</f>
        <v>-122.354</v>
      </c>
      <c r="D28" s="91" t="n">
        <f aca="false">Assumptions!$B$31+SUM($B27:D27)</f>
        <v>-164.44492</v>
      </c>
      <c r="E28" s="91" t="n">
        <f aca="false">Assumptions!$B$31+SUM($B27:E27)</f>
        <v>-194.5880216</v>
      </c>
      <c r="F28" s="91" t="n">
        <f aca="false">Assumptions!$B$31+SUM($B27:F27)</f>
        <v>-214.381677834667</v>
      </c>
      <c r="G28" s="91" t="n">
        <f aca="false">Assumptions!$B$31+SUM($B27:G27)</f>
        <v>-218.899794277973</v>
      </c>
      <c r="H28" s="91" t="n">
        <f aca="false">Assumptions!$B$31+SUM($B27:H27)</f>
        <v>-206.316048392414</v>
      </c>
      <c r="I28" s="91" t="n">
        <f aca="false">Assumptions!$B$31+SUM($B27:I27)</f>
        <v>-187.736644091232</v>
      </c>
      <c r="J28" s="91" t="n">
        <f aca="false">Assumptions!$B$31+SUM($B27:J27)</f>
        <v>-160.891741209408</v>
      </c>
      <c r="K28" s="91" t="n">
        <f aca="false">Assumptions!$B$31+SUM($B27:K27)</f>
        <v>-123.562054785219</v>
      </c>
      <c r="L28" s="91" t="n">
        <f aca="false">Assumptions!$B$31+SUM($B27:L27)</f>
        <v>-75.727074121515</v>
      </c>
      <c r="M28" s="91" t="n">
        <f aca="false">Assumptions!$B$31+SUM($B27:M27)</f>
        <v>-17.328666195778</v>
      </c>
    </row>
    <row r="29" customFormat="false" ht="15" hidden="false" customHeight="false" outlineLevel="0" collapsed="false">
      <c r="A29" s="13" t="str">
        <f aca="false">"Operating profit @ "&amp;TEXT($D$12,"$0.00")</f>
        <v>Operating profit @ $5.00</v>
      </c>
      <c r="B29" s="82" t="n">
        <f aca="false">B$19*($D$12-($D$12*(Assumptions!$B$17+Assumptions!$B$19)+Assumptions!$B$18))-B$21*B$22-$B$11</f>
        <v>-67.625</v>
      </c>
      <c r="C29" s="82" t="n">
        <f aca="false">C$19*($D$12-($D$12*(Assumptions!$B$17+Assumptions!$B$19)+Assumptions!$B$18))-C$21*C$22-$B$11</f>
        <v>-58.585</v>
      </c>
      <c r="D29" s="82" t="n">
        <f aca="false">D$19*($D$12-($D$12*(Assumptions!$B$17+Assumptions!$B$19)+Assumptions!$B$18))-D$21*D$22-$B$11</f>
        <v>-49.7258</v>
      </c>
      <c r="E29" s="82" t="n">
        <f aca="false">E$19*($D$12-($D$12*(Assumptions!$B$17+Assumptions!$B$19)+Assumptions!$B$18))-E$21*E$22-$B$11</f>
        <v>-41.481284</v>
      </c>
      <c r="F29" s="82" t="n">
        <f aca="false">F$19*($D$12-($D$12*(Assumptions!$B$17+Assumptions!$B$19)+Assumptions!$B$18))-F$21*F$22-$B$11</f>
        <v>-35.4037416533333</v>
      </c>
      <c r="G29" s="82" t="n">
        <f aca="false">G$19*($D$12-($D$12*(Assumptions!$B$17+Assumptions!$B$19)+Assumptions!$B$18))-G$21*G$22-$B$11</f>
        <v>-24.9573334869333</v>
      </c>
      <c r="H29" s="82" t="n">
        <f aca="false">H$19*($D$12-($D$12*(Assumptions!$B$17+Assumptions!$B$19)+Assumptions!$B$18))-H$21*H$22-$B$11</f>
        <v>-13.2306868171947</v>
      </c>
      <c r="I29" s="82" t="n">
        <f aca="false">I$19*($D$12-($D$12*(Assumptions!$B$17+Assumptions!$B$19)+Assumptions!$B$18))-I$21*I$22-$B$11</f>
        <v>-9.28940641418411</v>
      </c>
      <c r="J29" s="82" t="n">
        <f aca="false">J$19*($D$12-($D$12*(Assumptions!$B$17+Assumptions!$B$19)+Assumptions!$B$18))-J$21*J$22-$B$11</f>
        <v>-3.75698495256709</v>
      </c>
      <c r="K29" s="82" t="n">
        <f aca="false">K$19*($D$12-($D$12*(Assumptions!$B$17+Assumptions!$B$19)+Assumptions!$B$18))-K$21*K$22-$B$11</f>
        <v>3.33113874648424</v>
      </c>
      <c r="L29" s="82" t="n">
        <f aca="false">L$19*($D$12-($D$12*(Assumptions!$B$17+Assumptions!$B$19)+Assumptions!$B$18))-L$21*L$22-$B$11</f>
        <v>10.4336402915546</v>
      </c>
      <c r="M29" s="82" t="n">
        <f aca="false">M$19*($D$12-($D$12*(Assumptions!$B$17+Assumptions!$B$19)+Assumptions!$B$18))-M$21*M$22-$B$11</f>
        <v>17.5768926526568</v>
      </c>
    </row>
    <row r="30" customFormat="false" ht="15" hidden="false" customHeight="false" outlineLevel="0" collapsed="false">
      <c r="A30" s="13" t="str">
        <f aca="false">"Cumulative cash @ "&amp;TEXT($D$12,"$0.00")</f>
        <v>Cumulative cash @ $5.00</v>
      </c>
      <c r="B30" s="91" t="n">
        <f aca="false">Assumptions!$B$31+SUM($B29:B29)</f>
        <v>-67.625</v>
      </c>
      <c r="C30" s="91" t="n">
        <f aca="false">Assumptions!$B$31+SUM($B29:C29)</f>
        <v>-126.21</v>
      </c>
      <c r="D30" s="91" t="n">
        <f aca="false">Assumptions!$B$31+SUM($B29:D29)</f>
        <v>-175.9358</v>
      </c>
      <c r="E30" s="91" t="n">
        <f aca="false">Assumptions!$B$31+SUM($B29:E29)</f>
        <v>-217.417084</v>
      </c>
      <c r="F30" s="91" t="n">
        <f aca="false">Assumptions!$B$31+SUM($B29:F29)</f>
        <v>-252.820825653333</v>
      </c>
      <c r="G30" s="91" t="n">
        <f aca="false">Assumptions!$B$31+SUM($B29:G29)</f>
        <v>-277.778159140267</v>
      </c>
      <c r="H30" s="91" t="n">
        <f aca="false">Assumptions!$B$31+SUM($B29:H29)</f>
        <v>-291.008845957461</v>
      </c>
      <c r="I30" s="91" t="n">
        <f aca="false">Assumptions!$B$31+SUM($B29:I29)</f>
        <v>-300.298252371645</v>
      </c>
      <c r="J30" s="91" t="n">
        <f aca="false">Assumptions!$B$31+SUM($B29:J29)</f>
        <v>-304.055237324213</v>
      </c>
      <c r="K30" s="91" t="n">
        <f aca="false">Assumptions!$B$31+SUM($B29:K29)</f>
        <v>-300.724098577728</v>
      </c>
      <c r="L30" s="91" t="n">
        <f aca="false">Assumptions!$B$31+SUM($B29:L29)</f>
        <v>-290.290458286174</v>
      </c>
      <c r="M30" s="91" t="n">
        <f aca="false">Assumptions!$B$31+SUM($B29:M29)</f>
        <v>-272.713565633517</v>
      </c>
    </row>
    <row r="32" customFormat="false" ht="15" hidden="false" customHeight="false" outlineLevel="0" collapsed="false">
      <c r="A32" s="92" t="s">
        <v>498</v>
      </c>
      <c r="B32" s="93" t="n">
        <f aca="false">IF(B25&gt;0,1,0)</f>
        <v>0</v>
      </c>
      <c r="C32" s="93" t="n">
        <f aca="false">IF(C25&gt;0,1,0)</f>
        <v>0</v>
      </c>
      <c r="D32" s="93" t="n">
        <f aca="false">IF(D25&gt;0,1,0)</f>
        <v>0</v>
      </c>
      <c r="E32" s="93" t="n">
        <f aca="false">IF(E25&gt;0,1,0)</f>
        <v>0</v>
      </c>
      <c r="F32" s="93" t="n">
        <f aca="false">IF(F25&gt;0,1,0)</f>
        <v>1</v>
      </c>
      <c r="G32" s="93" t="n">
        <f aca="false">IF(G25&gt;0,1,0)</f>
        <v>1</v>
      </c>
      <c r="H32" s="93" t="n">
        <f aca="false">IF(H25&gt;0,1,0)</f>
        <v>1</v>
      </c>
      <c r="I32" s="93" t="n">
        <f aca="false">IF(I25&gt;0,1,0)</f>
        <v>1</v>
      </c>
      <c r="J32" s="93" t="n">
        <f aca="false">IF(J25&gt;0,1,0)</f>
        <v>1</v>
      </c>
      <c r="K32" s="93" t="n">
        <f aca="false">IF(K25&gt;0,1,0)</f>
        <v>1</v>
      </c>
      <c r="L32" s="93" t="n">
        <f aca="false">IF(L25&gt;0,1,0)</f>
        <v>1</v>
      </c>
      <c r="M32" s="93" t="n">
        <f aca="false">IF(M25&gt;0,1,0)</f>
        <v>1</v>
      </c>
    </row>
    <row r="33" customFormat="false" ht="15" hidden="false" customHeight="false" outlineLevel="0" collapsed="false">
      <c r="A33" s="92" t="s">
        <v>499</v>
      </c>
      <c r="B33" s="93" t="n">
        <f aca="false">IF(B26&gt;=0,1,0)</f>
        <v>0</v>
      </c>
      <c r="C33" s="93" t="n">
        <f aca="false">IF(C26&gt;=0,1,0)</f>
        <v>0</v>
      </c>
      <c r="D33" s="93" t="n">
        <f aca="false">IF(D26&gt;=0,1,0)</f>
        <v>0</v>
      </c>
      <c r="E33" s="93" t="n">
        <f aca="false">IF(E26&gt;=0,1,0)</f>
        <v>0</v>
      </c>
      <c r="F33" s="93" t="n">
        <f aca="false">IF(F26&gt;=0,1,0)</f>
        <v>0</v>
      </c>
      <c r="G33" s="93" t="n">
        <f aca="false">IF(G26&gt;=0,1,0)</f>
        <v>0</v>
      </c>
      <c r="H33" s="93" t="n">
        <f aca="false">IF(H26&gt;=0,1,0)</f>
        <v>0</v>
      </c>
      <c r="I33" s="93" t="n">
        <f aca="false">IF(I26&gt;=0,1,0)</f>
        <v>0</v>
      </c>
      <c r="J33" s="93" t="n">
        <f aca="false">IF(J26&gt;=0,1,0)</f>
        <v>1</v>
      </c>
      <c r="K33" s="93" t="n">
        <f aca="false">IF(K26&gt;=0,1,0)</f>
        <v>1</v>
      </c>
      <c r="L33" s="93" t="n">
        <f aca="false">IF(L26&gt;=0,1,0)</f>
        <v>1</v>
      </c>
      <c r="M33" s="93" t="n">
        <f aca="false">IF(M26&gt;=0,1,0)</f>
        <v>1</v>
      </c>
    </row>
    <row r="34" customFormat="false" ht="15" hidden="false" customHeight="false" outlineLevel="0" collapsed="false">
      <c r="A34" s="92" t="s">
        <v>500</v>
      </c>
      <c r="B34" s="93" t="n">
        <f aca="false">IF(B27&gt;0,1,0)</f>
        <v>0</v>
      </c>
      <c r="C34" s="93" t="n">
        <f aca="false">IF(C27&gt;0,1,0)</f>
        <v>0</v>
      </c>
      <c r="D34" s="93" t="n">
        <f aca="false">IF(D27&gt;0,1,0)</f>
        <v>0</v>
      </c>
      <c r="E34" s="93" t="n">
        <f aca="false">IF(E27&gt;0,1,0)</f>
        <v>0</v>
      </c>
      <c r="F34" s="93" t="n">
        <f aca="false">IF(F27&gt;0,1,0)</f>
        <v>0</v>
      </c>
      <c r="G34" s="93" t="n">
        <f aca="false">IF(G27&gt;0,1,0)</f>
        <v>0</v>
      </c>
      <c r="H34" s="93" t="n">
        <f aca="false">IF(H27&gt;0,1,0)</f>
        <v>1</v>
      </c>
      <c r="I34" s="93" t="n">
        <f aca="false">IF(I27&gt;0,1,0)</f>
        <v>1</v>
      </c>
      <c r="J34" s="93" t="n">
        <f aca="false">IF(J27&gt;0,1,0)</f>
        <v>1</v>
      </c>
      <c r="K34" s="93" t="n">
        <f aca="false">IF(K27&gt;0,1,0)</f>
        <v>1</v>
      </c>
      <c r="L34" s="93" t="n">
        <f aca="false">IF(L27&gt;0,1,0)</f>
        <v>1</v>
      </c>
      <c r="M34" s="93" t="n">
        <f aca="false">IF(M27&gt;0,1,0)</f>
        <v>1</v>
      </c>
    </row>
    <row r="35" customFormat="false" ht="15" hidden="false" customHeight="false" outlineLevel="0" collapsed="false">
      <c r="A35" s="92" t="s">
        <v>501</v>
      </c>
      <c r="B35" s="93" t="n">
        <f aca="false">IF(B28&gt;=0,1,0)</f>
        <v>0</v>
      </c>
      <c r="C35" s="93" t="n">
        <f aca="false">IF(C28&gt;=0,1,0)</f>
        <v>0</v>
      </c>
      <c r="D35" s="93" t="n">
        <f aca="false">IF(D28&gt;=0,1,0)</f>
        <v>0</v>
      </c>
      <c r="E35" s="93" t="n">
        <f aca="false">IF(E28&gt;=0,1,0)</f>
        <v>0</v>
      </c>
      <c r="F35" s="93" t="n">
        <f aca="false">IF(F28&gt;=0,1,0)</f>
        <v>0</v>
      </c>
      <c r="G35" s="93" t="n">
        <f aca="false">IF(G28&gt;=0,1,0)</f>
        <v>0</v>
      </c>
      <c r="H35" s="93" t="n">
        <f aca="false">IF(H28&gt;=0,1,0)</f>
        <v>0</v>
      </c>
      <c r="I35" s="93" t="n">
        <f aca="false">IF(I28&gt;=0,1,0)</f>
        <v>0</v>
      </c>
      <c r="J35" s="93" t="n">
        <f aca="false">IF(J28&gt;=0,1,0)</f>
        <v>0</v>
      </c>
      <c r="K35" s="93" t="n">
        <f aca="false">IF(K28&gt;=0,1,0)</f>
        <v>0</v>
      </c>
      <c r="L35" s="93" t="n">
        <f aca="false">IF(L28&gt;=0,1,0)</f>
        <v>0</v>
      </c>
      <c r="M35" s="93" t="n">
        <f aca="false">IF(M28&gt;=0,1,0)</f>
        <v>0</v>
      </c>
    </row>
    <row r="36" customFormat="false" ht="15" hidden="false" customHeight="false" outlineLevel="0" collapsed="false">
      <c r="A36" s="92" t="s">
        <v>502</v>
      </c>
      <c r="B36" s="93" t="n">
        <f aca="false">IF(B29&gt;0,1,0)</f>
        <v>0</v>
      </c>
      <c r="C36" s="93" t="n">
        <f aca="false">IF(C29&gt;0,1,0)</f>
        <v>0</v>
      </c>
      <c r="D36" s="93" t="n">
        <f aca="false">IF(D29&gt;0,1,0)</f>
        <v>0</v>
      </c>
      <c r="E36" s="93" t="n">
        <f aca="false">IF(E29&gt;0,1,0)</f>
        <v>0</v>
      </c>
      <c r="F36" s="93" t="n">
        <f aca="false">IF(F29&gt;0,1,0)</f>
        <v>0</v>
      </c>
      <c r="G36" s="93" t="n">
        <f aca="false">IF(G29&gt;0,1,0)</f>
        <v>0</v>
      </c>
      <c r="H36" s="93" t="n">
        <f aca="false">IF(H29&gt;0,1,0)</f>
        <v>0</v>
      </c>
      <c r="I36" s="93" t="n">
        <f aca="false">IF(I29&gt;0,1,0)</f>
        <v>0</v>
      </c>
      <c r="J36" s="93" t="n">
        <f aca="false">IF(J29&gt;0,1,0)</f>
        <v>0</v>
      </c>
      <c r="K36" s="93" t="n">
        <f aca="false">IF(K29&gt;0,1,0)</f>
        <v>1</v>
      </c>
      <c r="L36" s="93" t="n">
        <f aca="false">IF(L29&gt;0,1,0)</f>
        <v>1</v>
      </c>
      <c r="M36" s="93" t="n">
        <f aca="false">IF(M29&gt;0,1,0)</f>
        <v>1</v>
      </c>
    </row>
    <row r="37" customFormat="false" ht="15" hidden="false" customHeight="false" outlineLevel="0" collapsed="false">
      <c r="A37" s="92" t="s">
        <v>503</v>
      </c>
      <c r="B37" s="93" t="n">
        <f aca="false">IF(B30&gt;=0,1,0)</f>
        <v>0</v>
      </c>
      <c r="C37" s="93" t="n">
        <f aca="false">IF(C30&gt;=0,1,0)</f>
        <v>0</v>
      </c>
      <c r="D37" s="93" t="n">
        <f aca="false">IF(D30&gt;=0,1,0)</f>
        <v>0</v>
      </c>
      <c r="E37" s="93" t="n">
        <f aca="false">IF(E30&gt;=0,1,0)</f>
        <v>0</v>
      </c>
      <c r="F37" s="93" t="n">
        <f aca="false">IF(F30&gt;=0,1,0)</f>
        <v>0</v>
      </c>
      <c r="G37" s="93" t="n">
        <f aca="false">IF(G30&gt;=0,1,0)</f>
        <v>0</v>
      </c>
      <c r="H37" s="93" t="n">
        <f aca="false">IF(H30&gt;=0,1,0)</f>
        <v>0</v>
      </c>
      <c r="I37" s="93" t="n">
        <f aca="false">IF(I30&gt;=0,1,0)</f>
        <v>0</v>
      </c>
      <c r="J37" s="93" t="n">
        <f aca="false">IF(J30&gt;=0,1,0)</f>
        <v>0</v>
      </c>
      <c r="K37" s="93" t="n">
        <f aca="false">IF(K30&gt;=0,1,0)</f>
        <v>0</v>
      </c>
      <c r="L37" s="93" t="n">
        <f aca="false">IF(L30&gt;=0,1,0)</f>
        <v>0</v>
      </c>
      <c r="M37" s="93" t="n">
        <f aca="false">IF(M30&gt;=0,1,0)</f>
        <v>0</v>
      </c>
    </row>
    <row r="39" customFormat="false" ht="15" hidden="false" customHeight="false" outlineLevel="0" collapsed="false">
      <c r="A39" s="22" t="s">
        <v>504</v>
      </c>
      <c r="B39" s="22"/>
      <c r="C39" s="22"/>
      <c r="D39" s="22"/>
      <c r="E39" s="22"/>
      <c r="F39" s="22"/>
      <c r="G39" s="22"/>
      <c r="H39" s="22"/>
      <c r="I39" s="22"/>
      <c r="J39" s="22"/>
      <c r="K39" s="22"/>
      <c r="L39" s="22"/>
      <c r="M39" s="22"/>
    </row>
    <row r="40" customFormat="false" ht="15" hidden="false" customHeight="false" outlineLevel="0" collapsed="false">
      <c r="A40" s="4" t="s">
        <v>12</v>
      </c>
      <c r="B40" s="4" t="s">
        <v>299</v>
      </c>
      <c r="C40" s="4" t="s">
        <v>505</v>
      </c>
      <c r="D40" s="4" t="s">
        <v>505</v>
      </c>
      <c r="E40" s="4" t="s">
        <v>506</v>
      </c>
    </row>
    <row r="41" customFormat="false" ht="15" hidden="false" customHeight="false" outlineLevel="0" collapsed="false">
      <c r="A41" s="13" t="s">
        <v>507</v>
      </c>
      <c r="B41" s="46" t="n">
        <f aca="false">B12</f>
        <v>10</v>
      </c>
      <c r="C41" s="46" t="n">
        <f aca="false">C12</f>
        <v>7</v>
      </c>
      <c r="D41" s="46" t="n">
        <f aca="false">D12</f>
        <v>5</v>
      </c>
    </row>
    <row r="42" customFormat="false" ht="15" hidden="false" customHeight="false" outlineLevel="0" collapsed="false">
      <c r="A42" s="13" t="s">
        <v>508</v>
      </c>
      <c r="B42" s="89" t="n">
        <f aca="false">$M$19</f>
        <v>21.1729851001453</v>
      </c>
      <c r="C42" s="89" t="n">
        <f aca="false">$M$19</f>
        <v>21.1729851001453</v>
      </c>
      <c r="D42" s="89" t="n">
        <f aca="false">$M$19</f>
        <v>21.1729851001453</v>
      </c>
      <c r="E42" s="13" t="s">
        <v>509</v>
      </c>
    </row>
    <row r="43" customFormat="false" ht="15" hidden="false" customHeight="false" outlineLevel="0" collapsed="false">
      <c r="A43" s="13" t="s">
        <v>510</v>
      </c>
      <c r="B43" s="82" t="n">
        <f aca="false">M25</f>
        <v>119.630680835357</v>
      </c>
      <c r="C43" s="82" t="n">
        <f aca="false">M27</f>
        <v>58.398407925737</v>
      </c>
      <c r="D43" s="82" t="n">
        <f aca="false">M29</f>
        <v>17.5768926526568</v>
      </c>
      <c r="E43" s="13" t="s">
        <v>263</v>
      </c>
    </row>
    <row r="44" customFormat="false" ht="15" hidden="false" customHeight="false" outlineLevel="0" collapsed="false">
      <c r="A44" s="13" t="s">
        <v>511</v>
      </c>
      <c r="B44" s="82" t="n">
        <f aca="false">M26</f>
        <v>365.74868296083</v>
      </c>
      <c r="C44" s="82" t="n">
        <f aca="false">M28</f>
        <v>-17.328666195778</v>
      </c>
      <c r="D44" s="82" t="n">
        <f aca="false">M30</f>
        <v>-272.713565633517</v>
      </c>
      <c r="E44" s="13" t="s">
        <v>285</v>
      </c>
    </row>
    <row r="45" customFormat="false" ht="15" hidden="false" customHeight="false" outlineLevel="0" collapsed="false">
      <c r="A45" s="13" t="s">
        <v>512</v>
      </c>
      <c r="B45" s="94" t="n">
        <f aca="false">IF(SUM(B32:M32)=0,"none in 12",MATCH(1,B32:M32,0))</f>
        <v>5</v>
      </c>
      <c r="C45" s="94" t="n">
        <f aca="false">IF(SUM(B34:M34)=0,"none in 12",MATCH(1,B34:M34,0))</f>
        <v>7</v>
      </c>
      <c r="D45" s="94" t="n">
        <f aca="false">IF(SUM(B36:M36)=0,"none in 12",MATCH(1,B36:M36,0))</f>
        <v>10</v>
      </c>
      <c r="E45" s="13"/>
    </row>
    <row r="46" customFormat="false" ht="15" hidden="false" customHeight="false" outlineLevel="0" collapsed="false">
      <c r="A46" s="13" t="s">
        <v>513</v>
      </c>
      <c r="B46" s="94" t="n">
        <f aca="false">IF(SUM(B33:M33)=0,"none in 12",MATCH(1,B33:M33,0))</f>
        <v>9</v>
      </c>
      <c r="C46" s="94" t="str">
        <f aca="false">IF(SUM(B35:M35)=0,"none in 12",MATCH(1,B35:M35,0))</f>
        <v>none in 12</v>
      </c>
      <c r="D46" s="94" t="str">
        <f aca="false">IF(SUM(B37:M37)=0,"none in 12",MATCH(1,B37:M37,0))</f>
        <v>none in 12</v>
      </c>
      <c r="E46" s="13"/>
    </row>
    <row r="48" customFormat="false" ht="15" hidden="false" customHeight="false" outlineLevel="0" collapsed="false">
      <c r="A48" s="22" t="s">
        <v>514</v>
      </c>
      <c r="B48" s="22"/>
      <c r="C48" s="22"/>
      <c r="D48" s="22"/>
      <c r="E48" s="22"/>
      <c r="F48" s="22"/>
      <c r="G48" s="22"/>
      <c r="H48" s="22"/>
      <c r="I48" s="22"/>
      <c r="J48" s="22"/>
      <c r="K48" s="22"/>
      <c r="L48" s="22"/>
      <c r="M48" s="22"/>
    </row>
    <row r="49" customFormat="false" ht="15" hidden="false" customHeight="false" outlineLevel="0" collapsed="false">
      <c r="A49" s="4" t="s">
        <v>12</v>
      </c>
      <c r="B49" s="4" t="s">
        <v>299</v>
      </c>
      <c r="C49" s="4" t="s">
        <v>505</v>
      </c>
      <c r="D49" s="4" t="s">
        <v>505</v>
      </c>
      <c r="E49" s="4" t="s">
        <v>506</v>
      </c>
    </row>
    <row r="50" customFormat="false" ht="15" hidden="false" customHeight="false" outlineLevel="0" collapsed="false">
      <c r="A50" s="13" t="s">
        <v>515</v>
      </c>
      <c r="B50" s="89" t="n">
        <f aca="false">($B$11+$B$6*'Unit Economics'!$B$10)/(B$12-(B$12*(Assumptions!$B$17+Assumptions!$B$19)+Assumptions!$B$18))</f>
        <v>7.52141327623126</v>
      </c>
      <c r="C50" s="89" t="n">
        <f aca="false">($B$11+$B$6*'Unit Economics'!$B$10)/(C$12-(C$12*(Assumptions!$B$17+Assumptions!$B$19)+Assumptions!$B$18))</f>
        <v>10.8948511166253</v>
      </c>
      <c r="D50" s="89" t="n">
        <f aca="false">($B$11+$B$6*'Unit Economics'!$B$10)/(D$12-(D$12*(Assumptions!$B$17+Assumptions!$B$19)+Assumptions!$B$18))</f>
        <v>15.5420353982301</v>
      </c>
      <c r="E50" s="13" t="s">
        <v>516</v>
      </c>
    </row>
    <row r="51" customFormat="false" ht="15" hidden="false" customHeight="false" outlineLevel="0" collapsed="false">
      <c r="A51" s="13" t="s">
        <v>517</v>
      </c>
      <c r="B51" s="95" t="n">
        <f aca="false">IF($B$6=0,"n/a",B50/$B$6)</f>
        <v>0.0752141327623126</v>
      </c>
      <c r="C51" s="95" t="n">
        <f aca="false">IF($B$6=0,"n/a",C50/$B$6)</f>
        <v>0.108948511166253</v>
      </c>
      <c r="D51" s="95" t="n">
        <f aca="false">IF($B$6=0,"n/a",D50/$B$6)</f>
        <v>0.155420353982301</v>
      </c>
      <c r="E51" s="13"/>
    </row>
    <row r="52" customFormat="false" ht="15" hidden="false" customHeight="false" outlineLevel="0" collapsed="false">
      <c r="A52" s="13" t="s">
        <v>518</v>
      </c>
      <c r="B52" s="96" t="n">
        <f aca="false">IF(B50&gt;=$B$6,"not possible",B50/($B$10*($B$6-B50)))</f>
        <v>0.0135552339604438</v>
      </c>
      <c r="C52" s="96" t="n">
        <f aca="false">IF(C50&gt;=$B$6,"not possible",C50/($B$10*($B$6-C50)))</f>
        <v>0.020378267049575</v>
      </c>
      <c r="D52" s="96" t="n">
        <f aca="false">IF(D50&gt;=$B$6,"not possible",D50/($B$10*($B$6-D50)))</f>
        <v>0.0306701593538529</v>
      </c>
      <c r="E52" s="13" t="s">
        <v>519</v>
      </c>
    </row>
    <row r="53" customFormat="false" ht="15" hidden="false" customHeight="false" outlineLevel="0" collapsed="false">
      <c r="A53" s="13" t="s">
        <v>520</v>
      </c>
      <c r="B53" s="89" t="n">
        <f aca="false">($B$11+$B$8*'Unit Economics'!$B$10)/(B$12-(B$12*(Assumptions!$B$17+Assumptions!$B$19)+Assumptions!$B$18))</f>
        <v>8.36456102783726</v>
      </c>
      <c r="C53" s="89" t="n">
        <f aca="false">($B$11+$B$8*'Unit Economics'!$B$10)/(C$12-(C$12*(Assumptions!$B$17+Assumptions!$B$19)+Assumptions!$B$18))</f>
        <v>12.1161600496278</v>
      </c>
      <c r="D53" s="89" t="n">
        <f aca="false">($B$11+$B$8*'Unit Economics'!$B$10)/(D$12-(D$12*(Assumptions!$B$17+Assumptions!$B$19)+Assumptions!$B$18))</f>
        <v>17.2842920353982</v>
      </c>
      <c r="E53" s="13"/>
    </row>
    <row r="54" customFormat="false" ht="15" hidden="false" customHeight="false" outlineLevel="0" collapsed="false">
      <c r="A54" s="13" t="s">
        <v>517</v>
      </c>
      <c r="B54" s="95" t="n">
        <f aca="false">IF($B$8=0,"n/a",B53/$B$8)</f>
        <v>0.033458244111349</v>
      </c>
      <c r="C54" s="95" t="n">
        <f aca="false">IF($B$8=0,"n/a",C53/$B$8)</f>
        <v>0.0484646401985112</v>
      </c>
      <c r="D54" s="95" t="n">
        <f aca="false">IF($B$8=0,"n/a",D53/$B$8)</f>
        <v>0.0691371681415929</v>
      </c>
      <c r="E54" s="13"/>
    </row>
    <row r="55" customFormat="false" ht="15" hidden="false" customHeight="false" outlineLevel="0" collapsed="false">
      <c r="A55" s="13" t="s">
        <v>521</v>
      </c>
      <c r="B55" s="96" t="n">
        <f aca="false">IF(B53&gt;=$B$8,"not possible",B53/($B$10*($B$8-B53)))</f>
        <v>0.00576940828948583</v>
      </c>
      <c r="C55" s="96" t="n">
        <f aca="false">IF(C53&gt;=$B$8,"not possible",C53/($B$10*($B$8-C53)))</f>
        <v>0.00848884904789069</v>
      </c>
      <c r="D55" s="96" t="n">
        <f aca="false">IF(D53&gt;=$B$8,"not possible",D53/($B$10*($B$8-D53)))</f>
        <v>0.0123786888492771</v>
      </c>
      <c r="E55" s="13"/>
    </row>
    <row r="56" customFormat="false" ht="15" hidden="false" customHeight="false" outlineLevel="0" collapsed="false">
      <c r="A56" s="13" t="s">
        <v>522</v>
      </c>
      <c r="B56" s="89" t="n">
        <f aca="false">$B$10*$B$9*$B$6/(1+$B$10*$B$9)</f>
        <v>10.7142857142857</v>
      </c>
      <c r="C56" s="89" t="n">
        <f aca="false">$B$10*$B$9*$B$6/(1+$B$10*$B$9)</f>
        <v>10.7142857142857</v>
      </c>
      <c r="D56" s="89" t="n">
        <f aca="false">$B$10*$B$9*$B$6/(1+$B$10*$B$9)</f>
        <v>10.7142857142857</v>
      </c>
      <c r="E56" s="13" t="s">
        <v>523</v>
      </c>
    </row>
    <row r="57" customFormat="false" ht="15" hidden="false" customHeight="false" outlineLevel="0" collapsed="false">
      <c r="A57" s="13" t="s">
        <v>524</v>
      </c>
      <c r="B57" s="89" t="n">
        <f aca="false">$B$10*$B$9*$B$8/(1+$B$10*$B$9)</f>
        <v>26.7857142857143</v>
      </c>
      <c r="C57" s="89" t="n">
        <f aca="false">$B$10*$B$9*$B$8/(1+$B$10*$B$9)</f>
        <v>26.7857142857143</v>
      </c>
      <c r="D57" s="89" t="n">
        <f aca="false">$B$10*$B$9*$B$8/(1+$B$10*$B$9)</f>
        <v>26.7857142857143</v>
      </c>
      <c r="E57" s="13" t="s">
        <v>523</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62"/>
    <col collapsed="false" customWidth="true" hidden="false" outlineLevel="0" max="4" min="4" style="0" width="23"/>
    <col collapsed="false" customWidth="true" hidden="false" outlineLevel="0" max="6" min="5" style="0" width="13"/>
  </cols>
  <sheetData>
    <row r="1" customFormat="false" ht="33.75" hidden="false" customHeight="true" outlineLevel="0" collapsed="false">
      <c r="A1" s="1" t="s">
        <v>525</v>
      </c>
      <c r="B1" s="1"/>
      <c r="C1" s="1"/>
      <c r="D1" s="1"/>
      <c r="E1" s="1"/>
      <c r="F1" s="1"/>
    </row>
    <row r="2" customFormat="false" ht="31.5" hidden="false" customHeight="true" outlineLevel="0" collapsed="false">
      <c r="A2" s="3" t="s">
        <v>526</v>
      </c>
      <c r="B2" s="3"/>
      <c r="C2" s="3"/>
      <c r="D2" s="3"/>
      <c r="E2" s="3"/>
      <c r="F2" s="3"/>
    </row>
    <row r="3" customFormat="false" ht="31.5" hidden="false" customHeight="true" outlineLevel="0" collapsed="false">
      <c r="A3" s="3"/>
      <c r="B3" s="3"/>
      <c r="C3" s="3"/>
      <c r="D3" s="3"/>
      <c r="E3" s="3"/>
      <c r="F3" s="3"/>
    </row>
    <row r="4" customFormat="false" ht="25.5" hidden="false" customHeight="true" outlineLevel="0" collapsed="false">
      <c r="A4" s="4" t="s">
        <v>12</v>
      </c>
      <c r="B4" s="4" t="s">
        <v>527</v>
      </c>
      <c r="C4" s="4" t="s">
        <v>528</v>
      </c>
      <c r="D4" s="2"/>
      <c r="E4" s="2"/>
      <c r="F4" s="2"/>
    </row>
    <row r="5" customFormat="false" ht="15" hidden="false" customHeight="false" outlineLevel="0" collapsed="false">
      <c r="A5" s="13" t="s">
        <v>529</v>
      </c>
      <c r="B5" s="64" t="n">
        <f aca="false">Assumptions!B13</f>
        <v>10</v>
      </c>
      <c r="C5" s="13" t="s">
        <v>530</v>
      </c>
      <c r="D5" s="2"/>
      <c r="E5" s="2"/>
      <c r="F5" s="2"/>
    </row>
    <row r="6" customFormat="false" ht="15" hidden="false" customHeight="false" outlineLevel="0" collapsed="false">
      <c r="A6" s="15" t="s">
        <v>531</v>
      </c>
      <c r="B6" s="65" t="n">
        <f aca="false">Assumptions!B13*Assumptions!B17+Assumptions!B18</f>
        <v>0.59</v>
      </c>
      <c r="C6" s="15" t="s">
        <v>532</v>
      </c>
      <c r="D6" s="2"/>
      <c r="E6" s="2"/>
      <c r="F6" s="2"/>
    </row>
    <row r="7" customFormat="false" ht="15" hidden="false" customHeight="false" outlineLevel="0" collapsed="false">
      <c r="A7" s="15" t="s">
        <v>533</v>
      </c>
      <c r="B7" s="65" t="n">
        <f aca="false">Assumptions!B13*Assumptions!B19</f>
        <v>0.07</v>
      </c>
      <c r="C7" s="15" t="s">
        <v>534</v>
      </c>
      <c r="D7" s="2"/>
      <c r="E7" s="2"/>
      <c r="F7" s="2"/>
    </row>
    <row r="8" customFormat="false" ht="15" hidden="false" customHeight="false" outlineLevel="0" collapsed="false">
      <c r="A8" s="15" t="s">
        <v>535</v>
      </c>
      <c r="B8" s="65" t="n">
        <f aca="false">SUM(B6:B7)</f>
        <v>0.66</v>
      </c>
      <c r="C8" s="15" t="s">
        <v>536</v>
      </c>
      <c r="D8" s="2"/>
      <c r="E8" s="2"/>
      <c r="F8" s="2"/>
    </row>
    <row r="9" customFormat="false" ht="15" hidden="false" customHeight="false" outlineLevel="0" collapsed="false">
      <c r="A9" s="15" t="s">
        <v>537</v>
      </c>
      <c r="B9" s="65" t="n">
        <f aca="false">Assumptions!B14*(Assumptions!B15/1000000*Assumptions!B20+Assumptions!B16/1000000*Assumptions!B21)</f>
        <v>0.02625</v>
      </c>
      <c r="C9" s="15" t="s">
        <v>538</v>
      </c>
      <c r="D9" s="2"/>
      <c r="E9" s="2"/>
      <c r="F9" s="2"/>
    </row>
    <row r="10" customFormat="false" ht="15" hidden="false" customHeight="false" outlineLevel="0" collapsed="false">
      <c r="A10" s="15" t="s">
        <v>539</v>
      </c>
      <c r="B10" s="65" t="n">
        <f aca="false">Assumptions!B14*(Assumptions!B15/1000000*Assumptions!B22+Assumptions!B16/1000000*Assumptions!B23)</f>
        <v>0.0525</v>
      </c>
      <c r="C10" s="15" t="s">
        <v>540</v>
      </c>
      <c r="D10" s="2"/>
      <c r="E10" s="2"/>
      <c r="F10" s="2"/>
    </row>
    <row r="11" customFormat="false" ht="15" hidden="false" customHeight="false" outlineLevel="0" collapsed="false">
      <c r="A11" s="60" t="s">
        <v>8</v>
      </c>
      <c r="B11" s="97" t="n">
        <f aca="false">Assumptions!B13-B8-B10</f>
        <v>9.2875</v>
      </c>
      <c r="C11" s="60" t="s">
        <v>541</v>
      </c>
      <c r="D11" s="2"/>
      <c r="E11" s="2"/>
      <c r="F11" s="2"/>
    </row>
    <row r="12" customFormat="false" ht="15" hidden="false" customHeight="false" outlineLevel="0" collapsed="false">
      <c r="A12" s="60" t="s">
        <v>113</v>
      </c>
      <c r="B12" s="95" t="n">
        <f aca="false">B11/Assumptions!B13</f>
        <v>0.92875</v>
      </c>
      <c r="C12" s="60" t="s">
        <v>542</v>
      </c>
      <c r="D12" s="2"/>
      <c r="E12" s="2"/>
      <c r="F12" s="2"/>
    </row>
    <row r="13" customFormat="false" ht="15" hidden="false" customHeight="false" outlineLevel="0" collapsed="false">
      <c r="A13" s="60" t="s">
        <v>543</v>
      </c>
      <c r="B13" s="98" t="n">
        <f aca="false">CEILING(Assumptions!B25/B11,1)</f>
        <v>5</v>
      </c>
      <c r="C13" s="60" t="s">
        <v>544</v>
      </c>
      <c r="D13" s="2"/>
      <c r="E13" s="2"/>
      <c r="F13" s="2"/>
    </row>
    <row r="14" customFormat="false" ht="15" hidden="false" customHeight="false" outlineLevel="0" collapsed="false">
      <c r="A14" s="60" t="s">
        <v>545</v>
      </c>
      <c r="B14" s="98" t="n">
        <f aca="false">CEILING(Assumptions!B26/B11,1)</f>
        <v>8</v>
      </c>
      <c r="C14" s="60" t="s">
        <v>546</v>
      </c>
      <c r="D14" s="2"/>
      <c r="E14" s="2"/>
      <c r="F14" s="2"/>
    </row>
    <row r="15" customFormat="false" ht="15" hidden="false" customHeight="false" outlineLevel="0" collapsed="false">
      <c r="A15" s="60" t="s">
        <v>547</v>
      </c>
      <c r="B15" s="99" t="n">
        <f aca="false">B11*Assumptions!B11</f>
        <v>55.725</v>
      </c>
      <c r="C15" s="60" t="s">
        <v>548</v>
      </c>
      <c r="D15" s="2"/>
      <c r="E15" s="2"/>
      <c r="F15" s="2"/>
    </row>
    <row r="16" customFormat="false" ht="15" hidden="false" customHeight="false" outlineLevel="0" collapsed="false">
      <c r="A16" s="60" t="s">
        <v>10</v>
      </c>
      <c r="B16" s="99" t="n">
        <f aca="false">B15/3</f>
        <v>18.575</v>
      </c>
      <c r="C16" s="60" t="s">
        <v>549</v>
      </c>
      <c r="D16" s="2"/>
      <c r="E16" s="2"/>
      <c r="F16" s="2"/>
    </row>
    <row r="17" customFormat="false" ht="15" hidden="false" customHeight="false" outlineLevel="0" collapsed="false">
      <c r="A17" s="72" t="s">
        <v>143</v>
      </c>
      <c r="B17" s="100" t="n">
        <f aca="false">B16/B11</f>
        <v>2</v>
      </c>
      <c r="C17" s="72" t="s">
        <v>550</v>
      </c>
      <c r="D17" s="2"/>
      <c r="E17" s="2"/>
      <c r="F17" s="2"/>
    </row>
    <row r="18" customFormat="false" ht="15" hidden="false" customHeight="false" outlineLevel="0" collapsed="false">
      <c r="A18" s="2"/>
      <c r="B18" s="2"/>
      <c r="C18" s="2"/>
      <c r="D18" s="2"/>
      <c r="E18" s="2"/>
      <c r="F18" s="2"/>
    </row>
    <row r="19" customFormat="false" ht="15" hidden="false" customHeight="false" outlineLevel="0" collapsed="false">
      <c r="A19" s="2"/>
      <c r="B19" s="2"/>
      <c r="C19" s="2"/>
      <c r="D19" s="2"/>
      <c r="E19" s="2"/>
      <c r="F19" s="2"/>
    </row>
    <row r="20" customFormat="false" ht="21.75" hidden="false" customHeight="true" outlineLevel="0" collapsed="false">
      <c r="A20" s="12" t="s">
        <v>551</v>
      </c>
      <c r="B20" s="12"/>
      <c r="C20" s="12"/>
      <c r="D20" s="12"/>
      <c r="E20" s="12"/>
      <c r="F20" s="12"/>
    </row>
    <row r="21" customFormat="false" ht="25.5" hidden="false" customHeight="true" outlineLevel="0" collapsed="false">
      <c r="A21" s="4" t="s">
        <v>305</v>
      </c>
      <c r="B21" s="4" t="s">
        <v>552</v>
      </c>
      <c r="C21" s="4" t="s">
        <v>10</v>
      </c>
      <c r="D21" s="4" t="s">
        <v>553</v>
      </c>
      <c r="E21" s="2"/>
      <c r="F21" s="2"/>
    </row>
    <row r="22" customFormat="false" ht="15" hidden="false" customHeight="false" outlineLevel="0" collapsed="false">
      <c r="A22" s="13" t="n">
        <v>3</v>
      </c>
      <c r="B22" s="67" t="n">
        <f aca="false">$A22*$B$11</f>
        <v>27.8625</v>
      </c>
      <c r="C22" s="67" t="n">
        <f aca="false">B22/3</f>
        <v>9.2875</v>
      </c>
      <c r="D22" s="13" t="s">
        <v>554</v>
      </c>
      <c r="E22" s="2"/>
      <c r="F22" s="2"/>
    </row>
    <row r="23" customFormat="false" ht="15" hidden="false" customHeight="false" outlineLevel="0" collapsed="false">
      <c r="A23" s="15" t="n">
        <v>6</v>
      </c>
      <c r="B23" s="68" t="n">
        <f aca="false">$A23*$B$11</f>
        <v>55.725</v>
      </c>
      <c r="C23" s="68" t="n">
        <f aca="false">B23/3</f>
        <v>18.575</v>
      </c>
      <c r="D23" s="15" t="s">
        <v>555</v>
      </c>
      <c r="E23" s="2"/>
      <c r="F23" s="2"/>
    </row>
    <row r="24" customFormat="false" ht="15" hidden="false" customHeight="false" outlineLevel="0" collapsed="false">
      <c r="A24" s="15" t="n">
        <v>12</v>
      </c>
      <c r="B24" s="68" t="n">
        <f aca="false">$A24*$B$11</f>
        <v>111.45</v>
      </c>
      <c r="C24" s="68" t="n">
        <f aca="false">B24/3</f>
        <v>37.15</v>
      </c>
      <c r="D24" s="15" t="s">
        <v>554</v>
      </c>
      <c r="E24" s="2"/>
      <c r="F24" s="2"/>
    </row>
    <row r="25" customFormat="false" ht="15" hidden="false" customHeight="false" outlineLevel="0" collapsed="false">
      <c r="A25" s="17" t="n">
        <v>18</v>
      </c>
      <c r="B25" s="101" t="n">
        <f aca="false">$A25*$B$11</f>
        <v>167.175</v>
      </c>
      <c r="C25" s="101" t="n">
        <f aca="false">B25/3</f>
        <v>55.725</v>
      </c>
      <c r="D25" s="17" t="s">
        <v>554</v>
      </c>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21.75" hidden="false" customHeight="true" outlineLevel="0" collapsed="false">
      <c r="A28" s="12" t="s">
        <v>556</v>
      </c>
      <c r="B28" s="12"/>
      <c r="C28" s="12"/>
      <c r="D28" s="12"/>
      <c r="E28" s="12"/>
      <c r="F28" s="12"/>
    </row>
    <row r="29" customFormat="false" ht="15" hidden="false" customHeight="false" outlineLevel="0" collapsed="false">
      <c r="A29" s="13" t="s">
        <v>557</v>
      </c>
      <c r="B29" s="13" t="s">
        <v>558</v>
      </c>
      <c r="C29" s="2"/>
      <c r="D29" s="2"/>
      <c r="E29" s="2"/>
      <c r="F29" s="2"/>
    </row>
    <row r="30" customFormat="false" ht="15" hidden="false" customHeight="false" outlineLevel="0" collapsed="false">
      <c r="A30" s="15" t="s">
        <v>559</v>
      </c>
      <c r="B30" s="15" t="s">
        <v>560</v>
      </c>
      <c r="C30" s="2"/>
      <c r="D30" s="2"/>
      <c r="E30" s="2"/>
      <c r="F30" s="2"/>
    </row>
    <row r="31" customFormat="false" ht="15" hidden="false" customHeight="false" outlineLevel="0" collapsed="false">
      <c r="A31" s="15" t="s">
        <v>469</v>
      </c>
      <c r="B31" s="15" t="s">
        <v>561</v>
      </c>
      <c r="C31" s="2"/>
      <c r="D31" s="2"/>
      <c r="E31" s="2"/>
      <c r="F31" s="2"/>
    </row>
    <row r="32" customFormat="false" ht="15" hidden="false" customHeight="false" outlineLevel="0" collapsed="false">
      <c r="A32" s="15" t="s">
        <v>562</v>
      </c>
      <c r="B32" s="15" t="s">
        <v>563</v>
      </c>
      <c r="C32" s="2"/>
      <c r="D32" s="2"/>
      <c r="E32" s="2"/>
      <c r="F32" s="2"/>
    </row>
    <row r="33" customFormat="false" ht="15" hidden="false" customHeight="false" outlineLevel="0" collapsed="false">
      <c r="A33" s="15" t="s">
        <v>564</v>
      </c>
      <c r="B33" s="15" t="s">
        <v>565</v>
      </c>
      <c r="C33" s="2"/>
      <c r="D33" s="2"/>
      <c r="E33" s="2"/>
      <c r="F33" s="2"/>
    </row>
    <row r="34" customFormat="false" ht="15" hidden="false" customHeight="false" outlineLevel="0" collapsed="false">
      <c r="A34" s="15" t="s">
        <v>302</v>
      </c>
      <c r="B34" s="15" t="s">
        <v>566</v>
      </c>
      <c r="C34" s="2"/>
      <c r="D34" s="2"/>
      <c r="E34" s="2"/>
      <c r="F34" s="2"/>
    </row>
    <row r="35" customFormat="false" ht="15" hidden="false" customHeight="false" outlineLevel="0" collapsed="false">
      <c r="A35" s="17" t="s">
        <v>567</v>
      </c>
      <c r="B35" s="17" t="s">
        <v>568</v>
      </c>
      <c r="C35" s="2"/>
      <c r="D35" s="2"/>
      <c r="E35" s="2"/>
      <c r="F35" s="2"/>
    </row>
  </sheetData>
  <mergeCells count="4">
    <mergeCell ref="A1:F1"/>
    <mergeCell ref="A2:F3"/>
    <mergeCell ref="A20:F20"/>
    <mergeCell ref="A28:F2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3" min="2" style="0" width="14"/>
  </cols>
  <sheetData>
    <row r="1" customFormat="false" ht="22.05" hidden="false" customHeight="false" outlineLevel="0" collapsed="false">
      <c r="A1" s="1" t="s">
        <v>569</v>
      </c>
      <c r="B1" s="1"/>
      <c r="C1" s="1"/>
      <c r="D1" s="1"/>
      <c r="E1" s="1"/>
      <c r="F1" s="1"/>
      <c r="G1" s="1"/>
      <c r="H1" s="1"/>
      <c r="I1" s="1"/>
      <c r="J1" s="1"/>
      <c r="K1" s="1"/>
      <c r="L1" s="1"/>
      <c r="M1" s="1"/>
    </row>
    <row r="2" customFormat="false" ht="48" hidden="false" customHeight="true" outlineLevel="0" collapsed="false">
      <c r="A2" s="21" t="s">
        <v>570</v>
      </c>
      <c r="B2" s="21"/>
      <c r="C2" s="21"/>
      <c r="D2" s="21"/>
      <c r="E2" s="21"/>
      <c r="F2" s="21"/>
      <c r="G2" s="21"/>
      <c r="H2" s="21"/>
      <c r="I2" s="21"/>
      <c r="J2" s="21"/>
      <c r="K2" s="21"/>
      <c r="L2" s="21"/>
      <c r="M2" s="21"/>
    </row>
    <row r="5" customFormat="false" ht="15" hidden="false" customHeight="false" outlineLevel="0" collapsed="false">
      <c r="A5" s="22" t="s">
        <v>571</v>
      </c>
      <c r="B5" s="22"/>
      <c r="C5" s="22"/>
      <c r="D5" s="22"/>
      <c r="E5" s="22"/>
      <c r="F5" s="22"/>
      <c r="G5" s="22"/>
      <c r="H5" s="22"/>
      <c r="I5" s="22"/>
      <c r="J5" s="22"/>
      <c r="K5" s="22"/>
      <c r="L5" s="22"/>
      <c r="M5" s="22"/>
    </row>
    <row r="6" customFormat="false" ht="15" hidden="false" customHeight="false" outlineLevel="0" collapsed="false">
      <c r="A6" s="4" t="s">
        <v>12</v>
      </c>
      <c r="B6" s="4" t="s">
        <v>299</v>
      </c>
      <c r="C6" s="4" t="s">
        <v>505</v>
      </c>
      <c r="D6" s="4" t="s">
        <v>505</v>
      </c>
      <c r="E6" s="4" t="s">
        <v>197</v>
      </c>
    </row>
    <row r="7" customFormat="false" ht="15" hidden="false" customHeight="false" outlineLevel="0" collapsed="false">
      <c r="A7" s="13" t="s">
        <v>20</v>
      </c>
      <c r="B7" s="46" t="n">
        <f aca="false">Assumptions!B13</f>
        <v>10</v>
      </c>
      <c r="C7" s="44" t="n">
        <v>7</v>
      </c>
      <c r="D7" s="44" t="n">
        <v>5</v>
      </c>
      <c r="E7" s="13" t="s">
        <v>263</v>
      </c>
    </row>
    <row r="8" customFormat="false" ht="15" hidden="false" customHeight="false" outlineLevel="0" collapsed="false">
      <c r="A8" s="13" t="s">
        <v>396</v>
      </c>
      <c r="B8" s="90" t="n">
        <f aca="false">B7*(Assumptions!$B$17+Assumptions!$B$19)+Assumptions!$B$18</f>
        <v>0.66</v>
      </c>
      <c r="C8" s="90" t="n">
        <f aca="false">C7*(Assumptions!$B$17+Assumptions!$B$19)+Assumptions!$B$18</f>
        <v>0.552</v>
      </c>
      <c r="D8" s="90" t="n">
        <f aca="false">D7*(Assumptions!$B$17+Assumptions!$B$19)+Assumptions!$B$18</f>
        <v>0.48</v>
      </c>
      <c r="E8" s="13" t="s">
        <v>245</v>
      </c>
    </row>
    <row r="9" customFormat="false" ht="15" hidden="false" customHeight="false" outlineLevel="0" collapsed="false">
      <c r="A9" s="13" t="s">
        <v>572</v>
      </c>
      <c r="B9" s="84" t="n">
        <f aca="false">IF(B7=0,0,B8/B7)</f>
        <v>0.066</v>
      </c>
      <c r="C9" s="84" t="n">
        <f aca="false">IF(C7=0,0,C8/C7)</f>
        <v>0.0788571428571429</v>
      </c>
      <c r="D9" s="84" t="n">
        <f aca="false">IF(D7=0,0,D8/D7)</f>
        <v>0.096</v>
      </c>
      <c r="E9" s="13" t="s">
        <v>573</v>
      </c>
    </row>
    <row r="10" customFormat="false" ht="15" hidden="false" customHeight="false" outlineLevel="0" collapsed="false">
      <c r="A10" s="13" t="s">
        <v>539</v>
      </c>
      <c r="B10" s="90" t="n">
        <f aca="false">'Unit Economics'!$B$10</f>
        <v>0.0525</v>
      </c>
      <c r="C10" s="90" t="n">
        <f aca="false">'Unit Economics'!$B$10</f>
        <v>0.0525</v>
      </c>
      <c r="D10" s="90" t="n">
        <f aca="false">'Unit Economics'!$B$10</f>
        <v>0.0525</v>
      </c>
      <c r="E10" s="13" t="s">
        <v>574</v>
      </c>
    </row>
    <row r="11" customFormat="false" ht="15" hidden="false" customHeight="false" outlineLevel="0" collapsed="false">
      <c r="A11" s="13" t="s">
        <v>8</v>
      </c>
      <c r="B11" s="97" t="n">
        <f aca="false">B7-B8-B10</f>
        <v>9.2875</v>
      </c>
      <c r="C11" s="97" t="n">
        <f aca="false">C7-C8-C10</f>
        <v>6.3955</v>
      </c>
      <c r="D11" s="97" t="n">
        <f aca="false">D7-D8-D10</f>
        <v>4.4675</v>
      </c>
      <c r="E11" s="13" t="s">
        <v>263</v>
      </c>
    </row>
    <row r="12" customFormat="false" ht="15" hidden="false" customHeight="false" outlineLevel="0" collapsed="false">
      <c r="A12" s="13" t="s">
        <v>113</v>
      </c>
      <c r="B12" s="95" t="n">
        <f aca="false">IF(B7=0,0,B11/B7)</f>
        <v>0.92875</v>
      </c>
      <c r="C12" s="95" t="n">
        <f aca="false">IF(C7=0,0,C11/C7)</f>
        <v>0.913642857142857</v>
      </c>
      <c r="D12" s="95" t="n">
        <f aca="false">IF(D7=0,0,D11/D7)</f>
        <v>0.8935</v>
      </c>
      <c r="E12" s="13" t="s">
        <v>573</v>
      </c>
    </row>
    <row r="13" customFormat="false" ht="15" hidden="false" customHeight="false" outlineLevel="0" collapsed="false">
      <c r="A13" s="13" t="s">
        <v>547</v>
      </c>
      <c r="B13" s="46" t="n">
        <f aca="false">B11*Assumptions!$B$11</f>
        <v>55.725</v>
      </c>
      <c r="C13" s="46" t="n">
        <f aca="false">C11*Assumptions!$B$11</f>
        <v>38.373</v>
      </c>
      <c r="D13" s="46" t="n">
        <f aca="false">D11*Assumptions!$B$11</f>
        <v>26.805</v>
      </c>
      <c r="E13" s="13" t="s">
        <v>285</v>
      </c>
    </row>
    <row r="14" customFormat="false" ht="15" hidden="false" customHeight="false" outlineLevel="0" collapsed="false">
      <c r="A14" s="13" t="s">
        <v>10</v>
      </c>
      <c r="B14" s="102" t="n">
        <f aca="false">B13/3</f>
        <v>18.575</v>
      </c>
      <c r="C14" s="102" t="n">
        <f aca="false">C13/3</f>
        <v>12.791</v>
      </c>
      <c r="D14" s="102" t="n">
        <f aca="false">D13/3</f>
        <v>8.935</v>
      </c>
      <c r="E14" s="13" t="s">
        <v>281</v>
      </c>
    </row>
    <row r="16" customFormat="false" ht="15" hidden="false" customHeight="false" outlineLevel="0" collapsed="false">
      <c r="A16" s="22" t="s">
        <v>575</v>
      </c>
      <c r="B16" s="22"/>
      <c r="C16" s="22"/>
      <c r="D16" s="22"/>
      <c r="E16" s="22"/>
      <c r="F16" s="22"/>
      <c r="G16" s="22"/>
      <c r="H16" s="22"/>
      <c r="I16" s="22"/>
      <c r="J16" s="22"/>
      <c r="K16" s="22"/>
      <c r="L16" s="22"/>
      <c r="M16" s="22"/>
    </row>
    <row r="17" customFormat="false" ht="25.35" hidden="false" customHeight="false" outlineLevel="0" collapsed="false">
      <c r="A17" s="4" t="s">
        <v>576</v>
      </c>
      <c r="B17" s="4" t="s">
        <v>299</v>
      </c>
      <c r="C17" s="4" t="s">
        <v>505</v>
      </c>
      <c r="D17" s="4" t="s">
        <v>505</v>
      </c>
      <c r="E17" s="4" t="s">
        <v>577</v>
      </c>
    </row>
    <row r="18" customFormat="false" ht="15" hidden="false" customHeight="false" outlineLevel="0" collapsed="false">
      <c r="A18" s="13" t="s">
        <v>578</v>
      </c>
      <c r="B18" s="46" t="n">
        <f aca="false">Assumptions!$B$9*'Unit Economics'!$B$10</f>
        <v>26.25</v>
      </c>
      <c r="C18" s="46" t="n">
        <f aca="false">Assumptions!$B$9*'Unit Economics'!$B$10</f>
        <v>26.25</v>
      </c>
      <c r="D18" s="46" t="n">
        <f aca="false">Assumptions!$B$9*'Unit Economics'!$B$10</f>
        <v>26.25</v>
      </c>
      <c r="E18" s="13" t="s">
        <v>579</v>
      </c>
    </row>
    <row r="19" customFormat="false" ht="15" hidden="false" customHeight="false" outlineLevel="0" collapsed="false">
      <c r="A19" s="13" t="s">
        <v>580</v>
      </c>
      <c r="B19" s="98" t="n">
        <f aca="false">IF(B11&lt;=0,"never",CEILING(Assumptions!$B$25/B11,1))</f>
        <v>5</v>
      </c>
      <c r="C19" s="98" t="n">
        <f aca="false">IF(C11&lt;=0,"never",CEILING(Assumptions!$B$25/C11,1))</f>
        <v>8</v>
      </c>
      <c r="D19" s="98" t="n">
        <f aca="false">IF(D11&lt;=0,"never",CEILING(Assumptions!$B$25/D11,1))</f>
        <v>11</v>
      </c>
      <c r="E19" s="46" t="n">
        <f aca="false">Assumptions!$B$25</f>
        <v>45</v>
      </c>
    </row>
    <row r="20" customFormat="false" ht="15" hidden="false" customHeight="false" outlineLevel="0" collapsed="false">
      <c r="A20" s="13" t="s">
        <v>581</v>
      </c>
      <c r="B20" s="98" t="n">
        <f aca="false">IF(B11&lt;=0,"never",CEILING((Assumptions!$B$25+B18)/B11,1))</f>
        <v>8</v>
      </c>
      <c r="C20" s="98" t="n">
        <f aca="false">IF(C11&lt;=0,"never",CEILING((Assumptions!$B$25+C18)/C11,1))</f>
        <v>12</v>
      </c>
      <c r="D20" s="98" t="n">
        <f aca="false">IF(D11&lt;=0,"never",CEILING((Assumptions!$B$25+D18)/D11,1))</f>
        <v>16</v>
      </c>
      <c r="E20" s="46" t="n">
        <f aca="false">(Assumptions!$B$25+B18)</f>
        <v>71.25</v>
      </c>
    </row>
    <row r="21" customFormat="false" ht="15" hidden="false" customHeight="false" outlineLevel="0" collapsed="false">
      <c r="A21" s="13" t="s">
        <v>582</v>
      </c>
      <c r="B21" s="98" t="n">
        <f aca="false">IF(B11&lt;=0,"never",CEILING((Assumptions!$B$26+B18)/B11,1))</f>
        <v>11</v>
      </c>
      <c r="C21" s="98" t="n">
        <f aca="false">IF(C11&lt;=0,"never",CEILING((Assumptions!$B$26+C18)/C11,1))</f>
        <v>16</v>
      </c>
      <c r="D21" s="98" t="n">
        <f aca="false">IF(D11&lt;=0,"never",CEILING((Assumptions!$B$26+D18)/D11,1))</f>
        <v>22</v>
      </c>
      <c r="E21" s="46" t="n">
        <f aca="false">(Assumptions!$B$26+B18)</f>
        <v>97.25</v>
      </c>
    </row>
    <row r="22" customFormat="false" ht="15" hidden="false" customHeight="false" outlineLevel="0" collapsed="false">
      <c r="A22" s="103" t="s">
        <v>583</v>
      </c>
      <c r="B22" s="104" t="n">
        <f aca="false">IF(B11&lt;=0,"never",CEILING((Assumptions!$B$28+B18)/B11,1))</f>
        <v>10</v>
      </c>
      <c r="C22" s="104" t="n">
        <f aca="false">IF(C11&lt;=0,"never",CEILING((Assumptions!$B$28+C18)/C11,1))</f>
        <v>15</v>
      </c>
      <c r="D22" s="104" t="n">
        <f aca="false">IF(D11&lt;=0,"never",CEILING((Assumptions!$B$28+D18)/D11,1))</f>
        <v>21</v>
      </c>
      <c r="E22" s="46" t="n">
        <f aca="false">Assumptions!$B$28+B18</f>
        <v>91.25</v>
      </c>
    </row>
    <row r="23" customFormat="false" ht="15" hidden="false" customHeight="false" outlineLevel="0" collapsed="false">
      <c r="A23" s="22" t="s">
        <v>584</v>
      </c>
      <c r="B23" s="22"/>
      <c r="C23" s="22"/>
      <c r="D23" s="22"/>
      <c r="E23" s="22"/>
      <c r="F23" s="22"/>
      <c r="G23" s="22"/>
      <c r="H23" s="22"/>
      <c r="I23" s="22"/>
      <c r="J23" s="22"/>
      <c r="K23" s="22"/>
      <c r="L23" s="22"/>
      <c r="M23" s="22"/>
    </row>
    <row r="24" customFormat="false" ht="15" hidden="false" customHeight="false" outlineLevel="0" collapsed="false">
      <c r="A24" s="4" t="s">
        <v>12</v>
      </c>
      <c r="B24" s="4" t="s">
        <v>299</v>
      </c>
      <c r="C24" s="4" t="s">
        <v>505</v>
      </c>
      <c r="D24" s="4" t="s">
        <v>505</v>
      </c>
      <c r="E24" s="4" t="s">
        <v>197</v>
      </c>
    </row>
    <row r="25" customFormat="false" ht="15" hidden="false" customHeight="false" outlineLevel="0" collapsed="false">
      <c r="A25" s="13" t="s">
        <v>585</v>
      </c>
      <c r="B25" s="85" t="n">
        <f aca="false">Assumptions!$B$10*Assumptions!$B$11</f>
        <v>60</v>
      </c>
      <c r="C25" s="85" t="n">
        <f aca="false">Assumptions!$B$10*Assumptions!$B$11</f>
        <v>60</v>
      </c>
      <c r="D25" s="85" t="n">
        <f aca="false">Assumptions!$B$10*Assumptions!$B$11</f>
        <v>60</v>
      </c>
      <c r="E25" s="13" t="s">
        <v>215</v>
      </c>
    </row>
    <row r="26" customFormat="false" ht="15" hidden="false" customHeight="false" outlineLevel="0" collapsed="false">
      <c r="A26" s="13" t="s">
        <v>586</v>
      </c>
      <c r="B26" s="82" t="n">
        <f aca="false">B25*B11-Assumptions!$B$28-B18</f>
        <v>466</v>
      </c>
      <c r="C26" s="82" t="n">
        <f aca="false">C25*C11-Assumptions!$B$28-C18</f>
        <v>292.48</v>
      </c>
      <c r="D26" s="82" t="n">
        <f aca="false">D25*D11-Assumptions!$B$28-D18</f>
        <v>176.8</v>
      </c>
      <c r="E26" s="13" t="s">
        <v>263</v>
      </c>
    </row>
    <row r="27" customFormat="false" ht="15" hidden="false" customHeight="false" outlineLevel="0" collapsed="false">
      <c r="A27" s="13" t="s">
        <v>587</v>
      </c>
      <c r="B27" s="89" t="n">
        <f aca="false">IF(B11&lt;=0,"n/a",($B$26+Assumptions!$B$28+B18)/B11)</f>
        <v>60</v>
      </c>
      <c r="C27" s="89" t="n">
        <f aca="false">IF(C11&lt;=0,"n/a",($B$26+Assumptions!$B$28+C18)/C11)</f>
        <v>87.1315768900008</v>
      </c>
      <c r="D27" s="89" t="n">
        <f aca="false">IF(D11&lt;=0,"n/a",($B$26+Assumptions!$B$28+D18)/D11)</f>
        <v>124.734191382205</v>
      </c>
      <c r="E27" s="13" t="s">
        <v>215</v>
      </c>
    </row>
    <row r="28" customFormat="false" ht="15" hidden="false" customHeight="false" outlineLevel="0" collapsed="false">
      <c r="A28" s="13" t="s">
        <v>588</v>
      </c>
      <c r="B28" s="96" t="n">
        <f aca="false">IF(B11&lt;=0,"n/a",B27/(Assumptions!$B$11*Assumptions!$B$9))</f>
        <v>0.02</v>
      </c>
      <c r="C28" s="96" t="n">
        <f aca="false">IF(C11&lt;=0,"n/a",C27/(Assumptions!$B$11*Assumptions!$B$9))</f>
        <v>0.0290438589633336</v>
      </c>
      <c r="D28" s="96" t="n">
        <f aca="false">IF(D11&lt;=0,"n/a",D27/(Assumptions!$B$11*Assumptions!$B$9))</f>
        <v>0.0415780637940683</v>
      </c>
      <c r="E28" s="13" t="s">
        <v>589</v>
      </c>
    </row>
    <row r="29" customFormat="false" ht="15" hidden="false" customHeight="false" outlineLevel="0" collapsed="false">
      <c r="A29" s="13" t="s">
        <v>590</v>
      </c>
      <c r="B29" s="105" t="n">
        <f aca="false">IF(B11&lt;=0,"n/a",B27/B25)</f>
        <v>1</v>
      </c>
      <c r="C29" s="105" t="n">
        <f aca="false">IF(C11&lt;=0,"n/a",C27/C25)</f>
        <v>1.45219294816668</v>
      </c>
      <c r="D29" s="105" t="n">
        <f aca="false">IF(D11&lt;=0,"n/a",D27/D25)</f>
        <v>2.07890318970341</v>
      </c>
      <c r="E29" s="13" t="s">
        <v>591</v>
      </c>
    </row>
    <row r="31" customFormat="false" ht="15" hidden="false" customHeight="false" outlineLevel="0" collapsed="false">
      <c r="A31" s="22" t="s">
        <v>592</v>
      </c>
      <c r="B31" s="22"/>
      <c r="C31" s="22"/>
      <c r="D31" s="22"/>
      <c r="E31" s="22"/>
      <c r="F31" s="22"/>
      <c r="G31" s="22"/>
      <c r="H31" s="22"/>
      <c r="I31" s="22"/>
      <c r="J31" s="22"/>
      <c r="K31" s="22"/>
      <c r="L31" s="22"/>
      <c r="M31" s="22"/>
    </row>
    <row r="32" customFormat="false" ht="15" hidden="false" customHeight="false" outlineLevel="0" collapsed="false">
      <c r="A32" s="4" t="s">
        <v>44</v>
      </c>
      <c r="B32" s="4" t="s">
        <v>299</v>
      </c>
      <c r="C32" s="4" t="s">
        <v>505</v>
      </c>
      <c r="D32" s="4" t="s">
        <v>505</v>
      </c>
      <c r="E32" s="4" t="s">
        <v>593</v>
      </c>
    </row>
    <row r="33" customFormat="false" ht="15" hidden="false" customHeight="false" outlineLevel="0" collapsed="false">
      <c r="A33" s="13" t="s">
        <v>507</v>
      </c>
      <c r="B33" s="46" t="n">
        <f aca="false">B7</f>
        <v>10</v>
      </c>
      <c r="C33" s="46" t="n">
        <f aca="false">C7</f>
        <v>7</v>
      </c>
      <c r="D33" s="46" t="n">
        <f aca="false">D7</f>
        <v>5</v>
      </c>
    </row>
    <row r="34" customFormat="false" ht="15" hidden="false" customHeight="false" outlineLevel="0" collapsed="false">
      <c r="A34" s="13" t="s">
        <v>594</v>
      </c>
      <c r="B34" s="98" t="n">
        <f aca="false">IF(SUM(B85:M85)=0,"none in 12",MATCH(1,B85:M85,0))</f>
        <v>2</v>
      </c>
      <c r="C34" s="98" t="n">
        <f aca="false">IF(SUM(B95:M95)=0,"none in 12",MATCH(1,B95:M95,0))</f>
        <v>3</v>
      </c>
      <c r="D34" s="98" t="n">
        <f aca="false">IF(SUM(B105:M105)=0,"none in 12",MATCH(1,B105:M105,0))</f>
        <v>3</v>
      </c>
      <c r="E34" s="13" t="s">
        <v>595</v>
      </c>
    </row>
    <row r="35" customFormat="false" ht="15" hidden="false" customHeight="false" outlineLevel="0" collapsed="false">
      <c r="A35" s="13" t="s">
        <v>596</v>
      </c>
      <c r="B35" s="98" t="n">
        <f aca="false">IF(SUM(B86:M86)=0,"none in 12",MATCH(1,B86:M86,0))</f>
        <v>3</v>
      </c>
      <c r="C35" s="98" t="n">
        <f aca="false">IF(SUM(B96:M96)=0,"none in 12",MATCH(1,B96:M96,0))</f>
        <v>4</v>
      </c>
      <c r="D35" s="98" t="n">
        <f aca="false">IF(SUM(B106:M106)=0,"none in 12",MATCH(1,B106:M106,0))</f>
        <v>5</v>
      </c>
    </row>
    <row r="36" customFormat="false" ht="15" hidden="false" customHeight="false" outlineLevel="0" collapsed="false">
      <c r="A36" s="13" t="s">
        <v>597</v>
      </c>
      <c r="B36" s="98" t="n">
        <f aca="false">IF(SUM(B87:M87)=0,"none in 12",MATCH(1,B87:M87,0))</f>
        <v>4</v>
      </c>
      <c r="C36" s="98" t="n">
        <f aca="false">IF(SUM(B97:M97)=0,"none in 12",MATCH(1,B97:M97,0))</f>
        <v>5</v>
      </c>
      <c r="D36" s="98" t="n">
        <f aca="false">IF(SUM(B107:M107)=0,"none in 12",MATCH(1,B107:M107,0))</f>
        <v>6</v>
      </c>
      <c r="E36" s="13" t="s">
        <v>598</v>
      </c>
    </row>
    <row r="37" customFormat="false" ht="15" hidden="false" customHeight="false" outlineLevel="0" collapsed="false">
      <c r="A37" s="13" t="s">
        <v>599</v>
      </c>
      <c r="B37" s="98" t="n">
        <f aca="false">IF(SUM(B88:M88)=0,"none in 12",MATCH(1,B88:M88,0))</f>
        <v>7</v>
      </c>
      <c r="C37" s="98" t="n">
        <f aca="false">IF(SUM(B98:M98)=0,"none in 12",MATCH(1,B98:M98,0))</f>
        <v>8</v>
      </c>
      <c r="D37" s="98" t="n">
        <f aca="false">IF(SUM(B108:M108)=0,"none in 12",MATCH(1,B108:M108,0))</f>
        <v>11</v>
      </c>
    </row>
    <row r="39" customFormat="false" ht="15" hidden="false" customHeight="false" outlineLevel="0" collapsed="false">
      <c r="A39" s="22" t="s">
        <v>600</v>
      </c>
      <c r="B39" s="22"/>
      <c r="C39" s="22"/>
      <c r="D39" s="22"/>
      <c r="E39" s="22"/>
      <c r="F39" s="22"/>
      <c r="G39" s="22"/>
      <c r="H39" s="22"/>
      <c r="I39" s="22"/>
      <c r="J39" s="22"/>
      <c r="K39" s="22"/>
      <c r="L39" s="22"/>
      <c r="M39" s="22"/>
    </row>
    <row r="40" customFormat="false" ht="25.35" hidden="false" customHeight="false" outlineLevel="0" collapsed="false">
      <c r="A40" s="4" t="s">
        <v>468</v>
      </c>
      <c r="B40" s="4" t="s">
        <v>601</v>
      </c>
      <c r="C40" s="4" t="s">
        <v>602</v>
      </c>
      <c r="D40" s="4" t="s">
        <v>603</v>
      </c>
      <c r="E40" s="4" t="s">
        <v>604</v>
      </c>
      <c r="F40" s="4" t="s">
        <v>208</v>
      </c>
    </row>
    <row r="41" customFormat="false" ht="15" hidden="false" customHeight="false" outlineLevel="0" collapsed="false">
      <c r="A41" s="53" t="n">
        <v>10</v>
      </c>
      <c r="B41" s="102" t="n">
        <f aca="false">(Assumptions!$B$25/A41+Assumptions!$B$18+'Unit Economics'!$B$10)/(1-Assumptions!$B$17-Assumptions!$B$19)</f>
        <v>5.03371369294606</v>
      </c>
      <c r="C41" s="102" t="n">
        <f aca="false">((Assumptions!$B$25+$B$18)/A41+Assumptions!$B$18+'Unit Economics'!$B$10)/(1-Assumptions!$B$17-Assumptions!$B$19)</f>
        <v>7.75674273858921</v>
      </c>
      <c r="D41" s="102" t="n">
        <f aca="false">((Assumptions!$B$26+$B$18)/A41+Assumptions!$B$18+'Unit Economics'!$B$10)/(1-Assumptions!$B$17-Assumptions!$B$19)</f>
        <v>10.4538381742739</v>
      </c>
      <c r="E41" s="102" t="n">
        <f aca="false">((Assumptions!$B$28+$B$18)/A41+Assumptions!$B$18+'Unit Economics'!$B$10)/(1-Assumptions!$B$17-Assumptions!$B$19)</f>
        <v>9.83143153526971</v>
      </c>
      <c r="F41" s="13" t="s">
        <v>605</v>
      </c>
    </row>
    <row r="42" customFormat="false" ht="15" hidden="false" customHeight="false" outlineLevel="0" collapsed="false">
      <c r="A42" s="53" t="n">
        <v>20</v>
      </c>
      <c r="B42" s="102" t="n">
        <f aca="false">(Assumptions!$B$25/A42+Assumptions!$B$18+'Unit Economics'!$B$10)/(1-Assumptions!$B$17-Assumptions!$B$19)</f>
        <v>2.6996887966805</v>
      </c>
      <c r="C42" s="102" t="n">
        <f aca="false">((Assumptions!$B$25+$B$18)/A42+Assumptions!$B$18+'Unit Economics'!$B$10)/(1-Assumptions!$B$17-Assumptions!$B$19)</f>
        <v>4.06120331950207</v>
      </c>
      <c r="D42" s="102" t="n">
        <f aca="false">((Assumptions!$B$26+$B$18)/A42+Assumptions!$B$18+'Unit Economics'!$B$10)/(1-Assumptions!$B$17-Assumptions!$B$19)</f>
        <v>5.4097510373444</v>
      </c>
      <c r="E42" s="102" t="n">
        <f aca="false">((Assumptions!$B$28+$B$18)/A42+Assumptions!$B$18+'Unit Economics'!$B$10)/(1-Assumptions!$B$17-Assumptions!$B$19)</f>
        <v>5.09854771784232</v>
      </c>
    </row>
    <row r="43" customFormat="false" ht="15" hidden="false" customHeight="false" outlineLevel="0" collapsed="false">
      <c r="A43" s="53" t="n">
        <v>30</v>
      </c>
      <c r="B43" s="102" t="n">
        <f aca="false">(Assumptions!$B$25/A43+Assumptions!$B$18+'Unit Economics'!$B$10)/(1-Assumptions!$B$17-Assumptions!$B$19)</f>
        <v>1.92168049792531</v>
      </c>
      <c r="C43" s="102" t="n">
        <f aca="false">((Assumptions!$B$25+$B$18)/A43+Assumptions!$B$18+'Unit Economics'!$B$10)/(1-Assumptions!$B$17-Assumptions!$B$19)</f>
        <v>2.82935684647303</v>
      </c>
      <c r="D43" s="102" t="n">
        <f aca="false">((Assumptions!$B$26+$B$18)/A43+Assumptions!$B$18+'Unit Economics'!$B$10)/(1-Assumptions!$B$17-Assumptions!$B$19)</f>
        <v>3.72838865836791</v>
      </c>
      <c r="E43" s="102" t="n">
        <f aca="false">((Assumptions!$B$28+$B$18)/A43+Assumptions!$B$18+'Unit Economics'!$B$10)/(1-Assumptions!$B$17-Assumptions!$B$19)</f>
        <v>3.52091977869986</v>
      </c>
    </row>
    <row r="44" customFormat="false" ht="15" hidden="false" customHeight="false" outlineLevel="0" collapsed="false">
      <c r="A44" s="53" t="n">
        <v>60</v>
      </c>
      <c r="B44" s="102" t="n">
        <f aca="false">(Assumptions!$B$25/A44+Assumptions!$B$18+'Unit Economics'!$B$10)/(1-Assumptions!$B$17-Assumptions!$B$19)</f>
        <v>1.14367219917012</v>
      </c>
      <c r="C44" s="102" t="n">
        <f aca="false">((Assumptions!$B$25+$B$18)/A44+Assumptions!$B$18+'Unit Economics'!$B$10)/(1-Assumptions!$B$17-Assumptions!$B$19)</f>
        <v>1.59751037344398</v>
      </c>
      <c r="D44" s="102" t="n">
        <f aca="false">((Assumptions!$B$26+$B$18)/A44+Assumptions!$B$18+'Unit Economics'!$B$10)/(1-Assumptions!$B$17-Assumptions!$B$19)</f>
        <v>2.04702627939143</v>
      </c>
      <c r="E44" s="102" t="n">
        <f aca="false">((Assumptions!$B$28+$B$18)/A44+Assumptions!$B$18+'Unit Economics'!$B$10)/(1-Assumptions!$B$17-Assumptions!$B$19)</f>
        <v>1.9432918395574</v>
      </c>
    </row>
    <row r="46" customFormat="false" ht="15" hidden="false" customHeight="false" outlineLevel="0" collapsed="false">
      <c r="A46" s="22" t="s">
        <v>606</v>
      </c>
      <c r="B46" s="22"/>
      <c r="C46" s="22"/>
      <c r="D46" s="22"/>
      <c r="E46" s="22"/>
      <c r="F46" s="22"/>
      <c r="G46" s="22"/>
      <c r="H46" s="22"/>
      <c r="I46" s="22"/>
      <c r="J46" s="22"/>
      <c r="K46" s="22"/>
      <c r="L46" s="22"/>
      <c r="M46" s="22"/>
    </row>
    <row r="47" customFormat="false" ht="15" hidden="false" customHeight="false" outlineLevel="0" collapsed="false">
      <c r="A47" s="4" t="s">
        <v>12</v>
      </c>
      <c r="B47" s="4" t="s">
        <v>299</v>
      </c>
      <c r="C47" s="4" t="s">
        <v>505</v>
      </c>
      <c r="D47" s="4" t="s">
        <v>505</v>
      </c>
      <c r="E47" s="4" t="s">
        <v>197</v>
      </c>
    </row>
    <row r="48" customFormat="false" ht="15" hidden="false" customHeight="false" outlineLevel="0" collapsed="false">
      <c r="A48" s="13" t="s">
        <v>607</v>
      </c>
      <c r="B48" s="85" t="n">
        <f aca="false">Assumptions!B55</f>
        <v>31</v>
      </c>
      <c r="E48" s="13" t="s">
        <v>328</v>
      </c>
    </row>
    <row r="49" customFormat="false" ht="15" hidden="false" customHeight="false" outlineLevel="0" collapsed="false">
      <c r="A49" s="13" t="s">
        <v>608</v>
      </c>
      <c r="B49" s="85" t="n">
        <f aca="false">Assumptions!$B$32*$B$48</f>
        <v>310</v>
      </c>
      <c r="C49" s="85" t="n">
        <f aca="false">Assumptions!$B$32*$B$48</f>
        <v>310</v>
      </c>
      <c r="D49" s="85" t="n">
        <f aca="false">Assumptions!$B$32*$B$48</f>
        <v>310</v>
      </c>
      <c r="E49" s="13" t="s">
        <v>609</v>
      </c>
    </row>
    <row r="50" customFormat="false" ht="15" hidden="false" customHeight="false" outlineLevel="0" collapsed="false">
      <c r="A50" s="13" t="s">
        <v>610</v>
      </c>
      <c r="B50" s="106" t="n">
        <f aca="false">(Assumptions!$B$15*Assumptions!$B$22+Assumptions!$B$16*Assumptions!$B$23)/1000000</f>
        <v>0.00525</v>
      </c>
      <c r="C50" s="106" t="n">
        <f aca="false">(Assumptions!$B$15*Assumptions!$B$22+Assumptions!$B$16*Assumptions!$B$23)/1000000</f>
        <v>0.00525</v>
      </c>
      <c r="D50" s="106" t="n">
        <f aca="false">(Assumptions!$B$15*Assumptions!$B$22+Assumptions!$B$16*Assumptions!$B$23)/1000000</f>
        <v>0.00525</v>
      </c>
      <c r="E50" s="13" t="s">
        <v>611</v>
      </c>
    </row>
    <row r="51" customFormat="false" ht="15" hidden="false" customHeight="false" outlineLevel="0" collapsed="false">
      <c r="A51" s="13" t="s">
        <v>612</v>
      </c>
      <c r="B51" s="106" t="n">
        <f aca="false">B50+Assumptions!$B$33*Assumptions!$B$23/1000000</f>
        <v>0.01275</v>
      </c>
      <c r="C51" s="106" t="n">
        <f aca="false">C50+Assumptions!$B$33*Assumptions!$B$23/1000000</f>
        <v>0.01275</v>
      </c>
      <c r="D51" s="106" t="n">
        <f aca="false">D50+Assumptions!$B$33*Assumptions!$B$23/1000000</f>
        <v>0.01275</v>
      </c>
      <c r="E51" s="13" t="s">
        <v>611</v>
      </c>
    </row>
    <row r="52" customFormat="false" ht="15" hidden="false" customHeight="false" outlineLevel="0" collapsed="false">
      <c r="A52" s="13" t="s">
        <v>613</v>
      </c>
      <c r="B52" s="97" t="n">
        <f aca="false">B7-B8-Assumptions!$B$14*B51</f>
        <v>9.2125</v>
      </c>
      <c r="C52" s="97" t="n">
        <f aca="false">C7-C8-Assumptions!$B$14*C51</f>
        <v>6.3205</v>
      </c>
      <c r="D52" s="97" t="n">
        <f aca="false">D7-D8-Assumptions!$B$14*D51</f>
        <v>4.3925</v>
      </c>
      <c r="E52" s="13" t="s">
        <v>263</v>
      </c>
    </row>
    <row r="53" customFormat="false" ht="15" hidden="false" customHeight="false" outlineLevel="0" collapsed="false">
      <c r="A53" s="13" t="s">
        <v>614</v>
      </c>
      <c r="B53" s="97" t="n">
        <f aca="false">B7-B8-B49*Assumptions!$B$56*B50</f>
        <v>7.7125</v>
      </c>
      <c r="C53" s="97" t="n">
        <f aca="false">C7-C8-C49*Assumptions!$B$56*C50</f>
        <v>4.8205</v>
      </c>
      <c r="D53" s="97" t="n">
        <f aca="false">D7-D8-D49*Assumptions!$B$56*D50</f>
        <v>2.8925</v>
      </c>
      <c r="E53" s="13" t="s">
        <v>263</v>
      </c>
    </row>
    <row r="54" customFormat="false" ht="15" hidden="false" customHeight="false" outlineLevel="0" collapsed="false">
      <c r="A54" s="13" t="s">
        <v>615</v>
      </c>
      <c r="B54" s="97" t="n">
        <f aca="false">B7-B8-B49*Assumptions!$B$56*B51</f>
        <v>5.3875</v>
      </c>
      <c r="C54" s="97" t="n">
        <f aca="false">C7-C8-C49*Assumptions!$B$56*C51</f>
        <v>2.4955</v>
      </c>
      <c r="D54" s="97" t="n">
        <f aca="false">D7-D8-D49*Assumptions!$B$56*D51</f>
        <v>0.567499999999999</v>
      </c>
      <c r="E54" s="13" t="s">
        <v>263</v>
      </c>
    </row>
    <row r="55" customFormat="false" ht="15" hidden="false" customHeight="false" outlineLevel="0" collapsed="false">
      <c r="A55" s="13" t="s">
        <v>616</v>
      </c>
      <c r="B55" s="107" t="n">
        <f aca="false">((B7-B8)/(B49*Assumptions!$B$56)-Assumptions!$B$15*Assumptions!$B$22/1000000)/(Assumptions!$B$23/1000000)-Assumptions!$B$16</f>
        <v>3317.20430107527</v>
      </c>
      <c r="C55" s="107" t="n">
        <f aca="false">((C7-C8)/(C49*Assumptions!$B$56)-Assumptions!$B$15*Assumptions!$B$22/1000000)/(Assumptions!$B$23/1000000)-Assumptions!$B$16</f>
        <v>2073.33333333333</v>
      </c>
      <c r="D55" s="107" t="n">
        <f aca="false">((D7-D8)/(D49*Assumptions!$B$56)-Assumptions!$B$15*Assumptions!$B$22/1000000)/(Assumptions!$B$23/1000000)-Assumptions!$B$16</f>
        <v>1244.08602150538</v>
      </c>
      <c r="E55" s="13" t="s">
        <v>617</v>
      </c>
    </row>
    <row r="56" customFormat="false" ht="15" hidden="false" customHeight="false" outlineLevel="0" collapsed="false">
      <c r="A56" s="13" t="s">
        <v>618</v>
      </c>
      <c r="B56" s="107" t="n">
        <f aca="false">((B7-B8)/(B49*Assumptions!$B$57)-Assumptions!$B$15*Assumptions!$B$22/1000000)/(Assumptions!$B$23/1000000)-Assumptions!$B$16</f>
        <v>1308.60215053763</v>
      </c>
      <c r="C56" s="107" t="n">
        <f aca="false">((C7-C8)/(C49*Assumptions!$B$57)-Assumptions!$B$15*Assumptions!$B$22/1000000)/(Assumptions!$B$23/1000000)-Assumptions!$B$16</f>
        <v>686.666666666667</v>
      </c>
      <c r="D56" s="107" t="n">
        <f aca="false">((D7-D8)/(D49*Assumptions!$B$57)-Assumptions!$B$15*Assumptions!$B$22/1000000)/(Assumptions!$B$23/1000000)-Assumptions!$B$16</f>
        <v>272.043010752688</v>
      </c>
      <c r="E56" s="13" t="s">
        <v>619</v>
      </c>
    </row>
    <row r="57" customFormat="false" ht="15" hidden="false" customHeight="false" outlineLevel="0" collapsed="false">
      <c r="A57" s="22" t="s">
        <v>620</v>
      </c>
      <c r="B57" s="22"/>
      <c r="C57" s="22"/>
      <c r="D57" s="22"/>
      <c r="E57" s="22"/>
      <c r="F57" s="22"/>
      <c r="G57" s="22"/>
      <c r="H57" s="22"/>
      <c r="I57" s="22"/>
      <c r="J57" s="22"/>
      <c r="K57" s="22"/>
      <c r="L57" s="22"/>
      <c r="M57" s="22"/>
    </row>
    <row r="58" customFormat="false" ht="25.35" hidden="false" customHeight="false" outlineLevel="0" collapsed="false">
      <c r="A58" s="4" t="s">
        <v>621</v>
      </c>
      <c r="B58" s="4" t="str">
        <f aca="false">"Break-even @ "&amp;TEXT(B$7,"$0")</f>
        <v>Break-even @ $10</v>
      </c>
      <c r="C58" s="4" t="str">
        <f aca="false">"Break-even @ "&amp;TEXT(C$7,"$0")</f>
        <v>Break-even @ $7</v>
      </c>
      <c r="D58" s="4" t="str">
        <f aca="false">"Break-even @ "&amp;TEXT(D$7,"$0")</f>
        <v>Break-even @ $5</v>
      </c>
      <c r="E58" s="4" t="str">
        <f aca="false">"Profit @ "&amp;TEXT(B$7,"$0")</f>
        <v>Profit @ $10</v>
      </c>
      <c r="F58" s="4" t="str">
        <f aca="false">"Profit @ "&amp;TEXT(C$7,"$0")</f>
        <v>Profit @ $7</v>
      </c>
      <c r="G58" s="4" t="str">
        <f aca="false">"Profit @ "&amp;TEXT(D$7,"$0")</f>
        <v>Profit @ $5</v>
      </c>
    </row>
    <row r="59" customFormat="false" ht="15" hidden="false" customHeight="false" outlineLevel="0" collapsed="false">
      <c r="A59" s="108" t="n">
        <f aca="false">Assumptions!$B$47</f>
        <v>200</v>
      </c>
      <c r="B59" s="98" t="n">
        <f aca="false">IF(B$11&lt;=0,"never",CEILING((Assumptions!$B$25+$A59+B$18)/B$11,1))</f>
        <v>30</v>
      </c>
      <c r="C59" s="98" t="n">
        <f aca="false">IF(C$11&lt;=0,"never",CEILING((Assumptions!$B$25+$A59+C$18)/C$11,1))</f>
        <v>43</v>
      </c>
      <c r="D59" s="98" t="n">
        <f aca="false">IF(D$11&lt;=0,"never",CEILING((Assumptions!$B$25+$A59+D$18)/D$11,1))</f>
        <v>61</v>
      </c>
      <c r="E59" s="82" t="n">
        <f aca="false">B$25*B$11-Assumptions!$B$25-$A59-B$18</f>
        <v>286</v>
      </c>
      <c r="F59" s="82" t="n">
        <f aca="false">C$25*C$11-Assumptions!$B$25-$A59-C$18</f>
        <v>112.48</v>
      </c>
      <c r="G59" s="82" t="n">
        <f aca="false">D$25*D$11-Assumptions!$B$25-$A59-D$18</f>
        <v>-3.20000000000004</v>
      </c>
      <c r="H59" s="13" t="s">
        <v>622</v>
      </c>
    </row>
    <row r="60" customFormat="false" ht="15" hidden="false" customHeight="false" outlineLevel="0" collapsed="false">
      <c r="A60" s="108" t="n">
        <f aca="false">Assumptions!$B$48</f>
        <v>40</v>
      </c>
      <c r="B60" s="98" t="n">
        <f aca="false">IF(B$11&lt;=0,"never",CEILING((Assumptions!$B$25+$A60+B$18)/B$11,1))</f>
        <v>12</v>
      </c>
      <c r="C60" s="98" t="n">
        <f aca="false">IF(C$11&lt;=0,"never",CEILING((Assumptions!$B$25+$A60+C$18)/C$11,1))</f>
        <v>18</v>
      </c>
      <c r="D60" s="98" t="n">
        <f aca="false">IF(D$11&lt;=0,"never",CEILING((Assumptions!$B$25+$A60+D$18)/D$11,1))</f>
        <v>25</v>
      </c>
      <c r="E60" s="82" t="n">
        <f aca="false">B$25*B$11-Assumptions!$B$25-$A60-B$18</f>
        <v>446</v>
      </c>
      <c r="F60" s="82" t="n">
        <f aca="false">C$25*C$11-Assumptions!$B$25-$A60-C$18</f>
        <v>272.48</v>
      </c>
      <c r="G60" s="82" t="n">
        <f aca="false">D$25*D$11-Assumptions!$B$25-$A60-D$18</f>
        <v>156.8</v>
      </c>
      <c r="H60" s="13" t="s">
        <v>623</v>
      </c>
    </row>
    <row r="61" customFormat="false" ht="15" hidden="false" customHeight="false" outlineLevel="0" collapsed="false">
      <c r="A61" s="108" t="n">
        <f aca="false">Assumptions!$B$49</f>
        <v>20</v>
      </c>
      <c r="B61" s="98" t="n">
        <f aca="false">IF(B$11&lt;=0,"never",CEILING((Assumptions!$B$25+$A61+B$18)/B$11,1))</f>
        <v>10</v>
      </c>
      <c r="C61" s="98" t="n">
        <f aca="false">IF(C$11&lt;=0,"never",CEILING((Assumptions!$B$25+$A61+C$18)/C$11,1))</f>
        <v>15</v>
      </c>
      <c r="D61" s="98" t="n">
        <f aca="false">IF(D$11&lt;=0,"never",CEILING((Assumptions!$B$25+$A61+D$18)/D$11,1))</f>
        <v>21</v>
      </c>
      <c r="E61" s="82" t="n">
        <f aca="false">B$25*B$11-Assumptions!$B$25-$A61-B$18</f>
        <v>466</v>
      </c>
      <c r="F61" s="82" t="n">
        <f aca="false">C$25*C$11-Assumptions!$B$25-$A61-C$18</f>
        <v>292.48</v>
      </c>
      <c r="G61" s="82" t="n">
        <f aca="false">D$25*D$11-Assumptions!$B$25-$A61-D$18</f>
        <v>176.8</v>
      </c>
      <c r="H61" s="13" t="s">
        <v>624</v>
      </c>
    </row>
    <row r="62" customFormat="false" ht="15" hidden="false" customHeight="false" outlineLevel="0" collapsed="false">
      <c r="A62" s="109" t="n">
        <v>0</v>
      </c>
      <c r="B62" s="98" t="n">
        <f aca="false">IF(B$11&lt;=0,"never",CEILING((Assumptions!$B$25+$A62+B$18)/B$11,1))</f>
        <v>8</v>
      </c>
      <c r="C62" s="98" t="n">
        <f aca="false">IF(C$11&lt;=0,"never",CEILING((Assumptions!$B$25+$A62+C$18)/C$11,1))</f>
        <v>12</v>
      </c>
      <c r="D62" s="98" t="n">
        <f aca="false">IF(D$11&lt;=0,"never",CEILING((Assumptions!$B$25+$A62+D$18)/D$11,1))</f>
        <v>16</v>
      </c>
      <c r="E62" s="82" t="n">
        <f aca="false">B$25*B$11-Assumptions!$B$25-$A62-B$18</f>
        <v>486</v>
      </c>
      <c r="F62" s="82" t="n">
        <f aca="false">C$25*C$11-Assumptions!$B$25-$A62-C$18</f>
        <v>312.48</v>
      </c>
      <c r="G62" s="82" t="n">
        <f aca="false">D$25*D$11-Assumptions!$B$25-$A62-D$18</f>
        <v>196.8</v>
      </c>
      <c r="H62" s="13" t="s">
        <v>625</v>
      </c>
    </row>
    <row r="63" customFormat="false" ht="15" hidden="false" customHeight="false" outlineLevel="0" collapsed="false">
      <c r="A63" s="13" t="s">
        <v>626</v>
      </c>
    </row>
    <row r="65" customFormat="false" ht="15" hidden="false" customHeight="false" outlineLevel="0" collapsed="false">
      <c r="A65" s="22" t="s">
        <v>627</v>
      </c>
      <c r="B65" s="22"/>
      <c r="C65" s="22"/>
      <c r="D65" s="22"/>
      <c r="E65" s="22"/>
      <c r="F65" s="22"/>
      <c r="G65" s="22"/>
      <c r="H65" s="22"/>
      <c r="I65" s="22"/>
      <c r="J65" s="22"/>
      <c r="K65" s="22"/>
      <c r="L65" s="22"/>
      <c r="M65" s="22"/>
    </row>
    <row r="66" customFormat="false" ht="15" hidden="false" customHeight="false" outlineLevel="0" collapsed="false">
      <c r="A66" s="4" t="s">
        <v>12</v>
      </c>
      <c r="B66" s="4" t="s">
        <v>299</v>
      </c>
      <c r="C66" s="4" t="s">
        <v>505</v>
      </c>
      <c r="D66" s="4" t="s">
        <v>505</v>
      </c>
      <c r="E66" s="4" t="s">
        <v>628</v>
      </c>
    </row>
    <row r="67" customFormat="false" ht="15" hidden="false" customHeight="false" outlineLevel="0" collapsed="false">
      <c r="A67" s="13" t="s">
        <v>629</v>
      </c>
      <c r="B67" s="90" t="n">
        <f aca="false">Assumptions!$B$14*B51</f>
        <v>0.1275</v>
      </c>
      <c r="C67" s="90" t="n">
        <f aca="false">Assumptions!$B$14*C51</f>
        <v>0.1275</v>
      </c>
      <c r="D67" s="90" t="n">
        <f aca="false">Assumptions!$B$14*D51</f>
        <v>0.1275</v>
      </c>
      <c r="E67" s="13" t="s">
        <v>630</v>
      </c>
    </row>
    <row r="68" customFormat="false" ht="15" hidden="false" customHeight="false" outlineLevel="0" collapsed="false">
      <c r="A68" s="13" t="s">
        <v>631</v>
      </c>
      <c r="B68" s="97" t="n">
        <f aca="false">B7-B8-B67</f>
        <v>9.2125</v>
      </c>
      <c r="C68" s="97" t="n">
        <f aca="false">C7-C8-C67</f>
        <v>6.3205</v>
      </c>
      <c r="D68" s="97" t="n">
        <f aca="false">D7-D8-D67</f>
        <v>4.3925</v>
      </c>
      <c r="E68" s="13" t="s">
        <v>263</v>
      </c>
    </row>
    <row r="69" customFormat="false" ht="15" hidden="false" customHeight="false" outlineLevel="0" collapsed="false">
      <c r="A69" s="13" t="s">
        <v>632</v>
      </c>
      <c r="B69" s="91" t="n">
        <f aca="false">Assumptions!$B$9*B67</f>
        <v>63.75</v>
      </c>
      <c r="C69" s="91" t="n">
        <f aca="false">Assumptions!$B$9*C67</f>
        <v>63.75</v>
      </c>
      <c r="D69" s="91" t="n">
        <f aca="false">Assumptions!$B$9*D67</f>
        <v>63.75</v>
      </c>
      <c r="E69" s="13" t="s">
        <v>633</v>
      </c>
    </row>
    <row r="70" customFormat="false" ht="15" hidden="false" customHeight="false" outlineLevel="0" collapsed="false">
      <c r="A70" s="13" t="s">
        <v>634</v>
      </c>
      <c r="B70" s="82" t="n">
        <f aca="false">B69-B18</f>
        <v>37.5</v>
      </c>
      <c r="C70" s="82" t="n">
        <f aca="false">C69-C18</f>
        <v>37.5</v>
      </c>
      <c r="D70" s="82" t="n">
        <f aca="false">D69-D18</f>
        <v>37.5</v>
      </c>
      <c r="E70" s="13" t="s">
        <v>635</v>
      </c>
    </row>
    <row r="71" customFormat="false" ht="15" hidden="false" customHeight="false" outlineLevel="0" collapsed="false">
      <c r="A71" s="13" t="s">
        <v>636</v>
      </c>
      <c r="B71" s="85" t="n">
        <f aca="false">B20</f>
        <v>8</v>
      </c>
      <c r="C71" s="85" t="n">
        <f aca="false">C20</f>
        <v>12</v>
      </c>
      <c r="D71" s="85" t="n">
        <f aca="false">D20</f>
        <v>16</v>
      </c>
      <c r="E71" s="13" t="s">
        <v>637</v>
      </c>
    </row>
    <row r="72" customFormat="false" ht="15" hidden="false" customHeight="false" outlineLevel="0" collapsed="false">
      <c r="A72" s="13" t="s">
        <v>638</v>
      </c>
      <c r="B72" s="98" t="n">
        <f aca="false">IF(B68&lt;=0,"never",CEILING((Assumptions!$B$25+B69)/B68,1))</f>
        <v>12</v>
      </c>
      <c r="C72" s="98" t="n">
        <f aca="false">IF(C68&lt;=0,"never",CEILING((Assumptions!$B$25+C69)/C68,1))</f>
        <v>18</v>
      </c>
      <c r="D72" s="98" t="n">
        <f aca="false">IF(D68&lt;=0,"never",CEILING((Assumptions!$B$25+D69)/D68,1))</f>
        <v>25</v>
      </c>
      <c r="E72" s="13" t="s">
        <v>215</v>
      </c>
    </row>
    <row r="73" customFormat="false" ht="15" hidden="false" customHeight="false" outlineLevel="0" collapsed="false">
      <c r="A73" s="13" t="s">
        <v>639</v>
      </c>
      <c r="B73" s="98" t="n">
        <f aca="false">IF(B68&lt;=0,"never",CEILING((Assumptions!$B$28+B69)/B68,1))</f>
        <v>14</v>
      </c>
      <c r="C73" s="98" t="n">
        <f aca="false">IF(C68&lt;=0,"never",CEILING((Assumptions!$B$28+C69)/C68,1))</f>
        <v>21</v>
      </c>
      <c r="D73" s="98" t="n">
        <f aca="false">IF(D68&lt;=0,"never",CEILING((Assumptions!$B$28+D69)/D68,1))</f>
        <v>30</v>
      </c>
      <c r="E73" s="13" t="s">
        <v>215</v>
      </c>
    </row>
    <row r="74" customFormat="false" ht="15" hidden="false" customHeight="false" outlineLevel="0" collapsed="false">
      <c r="A74" s="13" t="s">
        <v>640</v>
      </c>
      <c r="B74" s="91" t="n">
        <f aca="false">B25*B11-Assumptions!$B$25-B18</f>
        <v>486</v>
      </c>
      <c r="C74" s="91" t="n">
        <f aca="false">C25*C11-Assumptions!$B$25-C18</f>
        <v>312.48</v>
      </c>
      <c r="D74" s="91" t="n">
        <f aca="false">D25*D11-Assumptions!$B$25-D18</f>
        <v>196.8</v>
      </c>
      <c r="E74" s="13" t="s">
        <v>641</v>
      </c>
    </row>
    <row r="75" customFormat="false" ht="15" hidden="false" customHeight="false" outlineLevel="0" collapsed="false">
      <c r="A75" s="13" t="s">
        <v>642</v>
      </c>
      <c r="B75" s="82" t="n">
        <f aca="false">B25*B68-Assumptions!$B$25-B69</f>
        <v>444</v>
      </c>
      <c r="C75" s="82" t="n">
        <f aca="false">C25*C68-Assumptions!$B$25-C69</f>
        <v>270.48</v>
      </c>
      <c r="D75" s="82" t="n">
        <f aca="false">D25*D68-Assumptions!$B$25-D69</f>
        <v>154.8</v>
      </c>
      <c r="E75" s="13" t="s">
        <v>641</v>
      </c>
    </row>
    <row r="76" customFormat="false" ht="15" hidden="false" customHeight="false" outlineLevel="0" collapsed="false">
      <c r="A76" s="13" t="s">
        <v>643</v>
      </c>
      <c r="B76" s="82" t="n">
        <f aca="false">B25*B68-Assumptions!$B$28-B69</f>
        <v>424</v>
      </c>
      <c r="C76" s="82" t="n">
        <f aca="false">C25*C68-Assumptions!$B$28-C69</f>
        <v>250.48</v>
      </c>
      <c r="D76" s="82" t="n">
        <f aca="false">D25*D68-Assumptions!$B$28-D69</f>
        <v>134.8</v>
      </c>
      <c r="E76" s="13" t="s">
        <v>644</v>
      </c>
    </row>
    <row r="78" customFormat="false" ht="15" hidden="false" customHeight="false" outlineLevel="0" collapsed="false">
      <c r="A78" s="22" t="s">
        <v>645</v>
      </c>
      <c r="B78" s="22"/>
      <c r="C78" s="22"/>
      <c r="D78" s="22"/>
      <c r="E78" s="22"/>
      <c r="F78" s="22"/>
      <c r="G78" s="22"/>
      <c r="H78" s="22"/>
      <c r="I78" s="22"/>
      <c r="J78" s="22"/>
      <c r="K78" s="22"/>
      <c r="L78" s="22"/>
      <c r="M78" s="22"/>
    </row>
    <row r="79" customFormat="false" ht="15" hidden="false" customHeight="false" outlineLevel="0" collapsed="false">
      <c r="A79" s="4" t="s">
        <v>466</v>
      </c>
      <c r="B79" s="86" t="n">
        <f aca="false">'Forecast 12M'!B$3</f>
        <v>1</v>
      </c>
      <c r="C79" s="86" t="n">
        <f aca="false">'Forecast 12M'!C$3</f>
        <v>2</v>
      </c>
      <c r="D79" s="86" t="n">
        <f aca="false">'Forecast 12M'!D$3</f>
        <v>3</v>
      </c>
      <c r="E79" s="86" t="n">
        <f aca="false">'Forecast 12M'!E$3</f>
        <v>4</v>
      </c>
      <c r="F79" s="86" t="n">
        <f aca="false">'Forecast 12M'!F$3</f>
        <v>5</v>
      </c>
      <c r="G79" s="86" t="n">
        <f aca="false">'Forecast 12M'!G$3</f>
        <v>6</v>
      </c>
      <c r="H79" s="86" t="n">
        <f aca="false">'Forecast 12M'!H$3</f>
        <v>7</v>
      </c>
      <c r="I79" s="86" t="n">
        <f aca="false">'Forecast 12M'!I$3</f>
        <v>8</v>
      </c>
      <c r="J79" s="86" t="n">
        <f aca="false">'Forecast 12M'!J$3</f>
        <v>9</v>
      </c>
      <c r="K79" s="86" t="n">
        <f aca="false">'Forecast 12M'!K$3</f>
        <v>10</v>
      </c>
      <c r="L79" s="86" t="n">
        <f aca="false">'Forecast 12M'!L$3</f>
        <v>11</v>
      </c>
      <c r="M79" s="86" t="n">
        <f aca="false">'Forecast 12M'!M$3</f>
        <v>12</v>
      </c>
    </row>
    <row r="80" customFormat="false" ht="15" hidden="false" customHeight="false" outlineLevel="0" collapsed="false">
      <c r="A80" s="4" t="str">
        <f aca="false">" Current price "&amp;TEXT(B$7,"$0.00")</f>
        <v> Current price $10.00</v>
      </c>
      <c r="B80" s="4"/>
      <c r="C80" s="4"/>
      <c r="D80" s="4"/>
      <c r="E80" s="4"/>
      <c r="F80" s="4"/>
      <c r="G80" s="4"/>
      <c r="H80" s="4"/>
      <c r="I80" s="4"/>
      <c r="J80" s="4"/>
      <c r="K80" s="4"/>
      <c r="L80" s="4"/>
      <c r="M80" s="4"/>
    </row>
    <row r="81" customFormat="false" ht="15" hidden="false" customHeight="false" outlineLevel="0" collapsed="false">
      <c r="A81" s="13" t="s">
        <v>646</v>
      </c>
      <c r="B81" s="91" t="n">
        <f aca="false">'Forecast 12M'!B$18*($B$7-$B$8)-'Forecast 12M'!B$21-'Forecast 12M'!B$24</f>
        <v>-78.125</v>
      </c>
      <c r="C81" s="91" t="n">
        <f aca="false">'Forecast 12M'!C$18*($B$7-$B$8)-'Forecast 12M'!C$21-'Forecast 12M'!C$24</f>
        <v>15.0125</v>
      </c>
      <c r="D81" s="91" t="n">
        <f aca="false">'Forecast 12M'!D$18*($B$7-$B$8)-'Forecast 12M'!D$21-'Forecast 12M'!D$24</f>
        <v>108.15</v>
      </c>
      <c r="E81" s="91" t="n">
        <f aca="false">'Forecast 12M'!E$18*($B$7-$B$8)-'Forecast 12M'!E$21-'Forecast 12M'!E$24</f>
        <v>201.2875</v>
      </c>
      <c r="F81" s="91" t="n">
        <f aca="false">'Forecast 12M'!F$18*($B$7-$B$8)-'Forecast 12M'!F$21-'Forecast 12M'!F$24</f>
        <v>280.25</v>
      </c>
      <c r="G81" s="91" t="n">
        <f aca="false">'Forecast 12M'!G$18*($B$7-$B$8)-'Forecast 12M'!G$21-'Forecast 12M'!G$24</f>
        <v>373.125</v>
      </c>
      <c r="H81" s="91" t="n">
        <f aca="false">'Forecast 12M'!H$18*($B$7-$B$8)-'Forecast 12M'!H$21-'Forecast 12M'!H$24</f>
        <v>466</v>
      </c>
      <c r="I81" s="91" t="n">
        <f aca="false">'Forecast 12M'!I$18*($B$7-$B$8)-'Forecast 12M'!I$21-'Forecast 12M'!I$24</f>
        <v>466</v>
      </c>
      <c r="J81" s="91" t="n">
        <f aca="false">'Forecast 12M'!J$18*($B$7-$B$8)-'Forecast 12M'!J$21-'Forecast 12M'!J$24</f>
        <v>466</v>
      </c>
      <c r="K81" s="91" t="n">
        <f aca="false">'Forecast 12M'!K$18*($B$7-$B$8)-'Forecast 12M'!K$21-'Forecast 12M'!K$24</f>
        <v>466</v>
      </c>
      <c r="L81" s="91" t="n">
        <f aca="false">'Forecast 12M'!L$18*($B$7-$B$8)-'Forecast 12M'!L$21-'Forecast 12M'!L$24</f>
        <v>466</v>
      </c>
      <c r="M81" s="91" t="n">
        <f aca="false">'Forecast 12M'!M$18*($B$7-$B$8)-'Forecast 12M'!M$21-'Forecast 12M'!M$24</f>
        <v>466</v>
      </c>
    </row>
    <row r="82" customFormat="false" ht="15" hidden="false" customHeight="false" outlineLevel="0" collapsed="false">
      <c r="A82" s="13" t="s">
        <v>647</v>
      </c>
      <c r="B82" s="91" t="n">
        <f aca="false">Assumptions!$B$31+SUM($B81:B81)</f>
        <v>-78.125</v>
      </c>
      <c r="C82" s="91" t="n">
        <f aca="false">Assumptions!$B$31+SUM($B81:C81)</f>
        <v>-63.1125</v>
      </c>
      <c r="D82" s="91" t="n">
        <f aca="false">Assumptions!$B$31+SUM($B81:D81)</f>
        <v>45.0375</v>
      </c>
      <c r="E82" s="91" t="n">
        <f aca="false">Assumptions!$B$31+SUM($B81:E81)</f>
        <v>246.325</v>
      </c>
      <c r="F82" s="91" t="n">
        <f aca="false">Assumptions!$B$31+SUM($B81:F81)</f>
        <v>526.575</v>
      </c>
      <c r="G82" s="91" t="n">
        <f aca="false">Assumptions!$B$31+SUM($B81:G81)</f>
        <v>899.7</v>
      </c>
      <c r="H82" s="91" t="n">
        <f aca="false">Assumptions!$B$31+SUM($B81:H81)</f>
        <v>1365.7</v>
      </c>
      <c r="I82" s="91" t="n">
        <f aca="false">Assumptions!$B$31+SUM($B81:I81)</f>
        <v>1831.7</v>
      </c>
      <c r="J82" s="91" t="n">
        <f aca="false">Assumptions!$B$31+SUM($B81:J81)</f>
        <v>2297.7</v>
      </c>
      <c r="K82" s="91" t="n">
        <f aca="false">Assumptions!$B$31+SUM($B81:K81)</f>
        <v>2763.7</v>
      </c>
      <c r="L82" s="91" t="n">
        <f aca="false">Assumptions!$B$31+SUM($B81:L81)</f>
        <v>3229.7</v>
      </c>
      <c r="M82" s="91" t="n">
        <f aca="false">Assumptions!$B$31+SUM($B81:M81)</f>
        <v>3695.7</v>
      </c>
    </row>
    <row r="83" customFormat="false" ht="15" hidden="false" customHeight="false" outlineLevel="0" collapsed="false">
      <c r="A83" s="13" t="s">
        <v>648</v>
      </c>
      <c r="B83" s="91" t="n">
        <f aca="false">B81-$B$14*Assumptions!$B$10</f>
        <v>-263.875</v>
      </c>
      <c r="C83" s="91" t="n">
        <f aca="false">C81-$B$14*Assumptions!$B$10</f>
        <v>-170.7375</v>
      </c>
      <c r="D83" s="91" t="n">
        <f aca="false">D81-$B$14*Assumptions!$B$10</f>
        <v>-77.6</v>
      </c>
      <c r="E83" s="91" t="n">
        <f aca="false">E81-$B$14*Assumptions!$B$10</f>
        <v>15.5375</v>
      </c>
      <c r="F83" s="91" t="n">
        <f aca="false">F81-$B$14*Assumptions!$B$10</f>
        <v>94.5</v>
      </c>
      <c r="G83" s="91" t="n">
        <f aca="false">G81-$B$14*Assumptions!$B$10</f>
        <v>187.375</v>
      </c>
      <c r="H83" s="91" t="n">
        <f aca="false">H81-$B$14*Assumptions!$B$10</f>
        <v>280.25</v>
      </c>
      <c r="I83" s="91" t="n">
        <f aca="false">I81-$B$14*Assumptions!$B$10</f>
        <v>280.25</v>
      </c>
      <c r="J83" s="91" t="n">
        <f aca="false">J81-$B$14*Assumptions!$B$10</f>
        <v>280.25</v>
      </c>
      <c r="K83" s="91" t="n">
        <f aca="false">K81-$B$14*Assumptions!$B$10</f>
        <v>280.25</v>
      </c>
      <c r="L83" s="91" t="n">
        <f aca="false">L81-$B$14*Assumptions!$B$10</f>
        <v>280.25</v>
      </c>
      <c r="M83" s="91" t="n">
        <f aca="false">M81-$B$14*Assumptions!$B$10</f>
        <v>280.25</v>
      </c>
    </row>
    <row r="84" customFormat="false" ht="15" hidden="false" customHeight="false" outlineLevel="0" collapsed="false">
      <c r="A84" s="13" t="s">
        <v>649</v>
      </c>
      <c r="B84" s="91" t="n">
        <f aca="false">Assumptions!$B$31+SUM($B83:B83)</f>
        <v>-263.875</v>
      </c>
      <c r="C84" s="91" t="n">
        <f aca="false">Assumptions!$B$31+SUM($B83:C83)</f>
        <v>-434.6125</v>
      </c>
      <c r="D84" s="91" t="n">
        <f aca="false">Assumptions!$B$31+SUM($B83:D83)</f>
        <v>-512.2125</v>
      </c>
      <c r="E84" s="91" t="n">
        <f aca="false">Assumptions!$B$31+SUM($B83:E83)</f>
        <v>-496.675</v>
      </c>
      <c r="F84" s="91" t="n">
        <f aca="false">Assumptions!$B$31+SUM($B83:F83)</f>
        <v>-402.175</v>
      </c>
      <c r="G84" s="91" t="n">
        <f aca="false">Assumptions!$B$31+SUM($B83:G83)</f>
        <v>-214.8</v>
      </c>
      <c r="H84" s="91" t="n">
        <f aca="false">Assumptions!$B$31+SUM($B83:H83)</f>
        <v>65.45</v>
      </c>
      <c r="I84" s="91" t="n">
        <f aca="false">Assumptions!$B$31+SUM($B83:I83)</f>
        <v>345.7</v>
      </c>
      <c r="J84" s="91" t="n">
        <f aca="false">Assumptions!$B$31+SUM($B83:J83)</f>
        <v>625.95</v>
      </c>
      <c r="K84" s="91" t="n">
        <f aca="false">Assumptions!$B$31+SUM($B83:K83)</f>
        <v>906.2</v>
      </c>
      <c r="L84" s="91" t="n">
        <f aca="false">Assumptions!$B$31+SUM($B83:L83)</f>
        <v>1186.45</v>
      </c>
      <c r="M84" s="91" t="n">
        <f aca="false">Assumptions!$B$31+SUM($B83:M83)</f>
        <v>1466.7</v>
      </c>
    </row>
    <row r="85" customFormat="false" ht="15" hidden="false" customHeight="false" outlineLevel="0" collapsed="false">
      <c r="A85" s="92" t="s">
        <v>650</v>
      </c>
      <c r="B85" s="93" t="n">
        <f aca="false">IF(B81&gt;0,1,0)</f>
        <v>0</v>
      </c>
      <c r="C85" s="93" t="n">
        <f aca="false">IF(C81&gt;0,1,0)</f>
        <v>1</v>
      </c>
      <c r="D85" s="93" t="n">
        <f aca="false">IF(D81&gt;0,1,0)</f>
        <v>1</v>
      </c>
      <c r="E85" s="93" t="n">
        <f aca="false">IF(E81&gt;0,1,0)</f>
        <v>1</v>
      </c>
      <c r="F85" s="93" t="n">
        <f aca="false">IF(F81&gt;0,1,0)</f>
        <v>1</v>
      </c>
      <c r="G85" s="93" t="n">
        <f aca="false">IF(G81&gt;0,1,0)</f>
        <v>1</v>
      </c>
      <c r="H85" s="93" t="n">
        <f aca="false">IF(H81&gt;0,1,0)</f>
        <v>1</v>
      </c>
      <c r="I85" s="93" t="n">
        <f aca="false">IF(I81&gt;0,1,0)</f>
        <v>1</v>
      </c>
      <c r="J85" s="93" t="n">
        <f aca="false">IF(J81&gt;0,1,0)</f>
        <v>1</v>
      </c>
      <c r="K85" s="93" t="n">
        <f aca="false">IF(K81&gt;0,1,0)</f>
        <v>1</v>
      </c>
      <c r="L85" s="93" t="n">
        <f aca="false">IF(L81&gt;0,1,0)</f>
        <v>1</v>
      </c>
      <c r="M85" s="93" t="n">
        <f aca="false">IF(M81&gt;0,1,0)</f>
        <v>1</v>
      </c>
    </row>
    <row r="86" customFormat="false" ht="15" hidden="false" customHeight="false" outlineLevel="0" collapsed="false">
      <c r="A86" s="92" t="s">
        <v>651</v>
      </c>
      <c r="B86" s="93" t="n">
        <f aca="false">IF(B82&gt;=0,1,0)</f>
        <v>0</v>
      </c>
      <c r="C86" s="93" t="n">
        <f aca="false">IF(C82&gt;=0,1,0)</f>
        <v>0</v>
      </c>
      <c r="D86" s="93" t="n">
        <f aca="false">IF(D82&gt;=0,1,0)</f>
        <v>1</v>
      </c>
      <c r="E86" s="93" t="n">
        <f aca="false">IF(E82&gt;=0,1,0)</f>
        <v>1</v>
      </c>
      <c r="F86" s="93" t="n">
        <f aca="false">IF(F82&gt;=0,1,0)</f>
        <v>1</v>
      </c>
      <c r="G86" s="93" t="n">
        <f aca="false">IF(G82&gt;=0,1,0)</f>
        <v>1</v>
      </c>
      <c r="H86" s="93" t="n">
        <f aca="false">IF(H82&gt;=0,1,0)</f>
        <v>1</v>
      </c>
      <c r="I86" s="93" t="n">
        <f aca="false">IF(I82&gt;=0,1,0)</f>
        <v>1</v>
      </c>
      <c r="J86" s="93" t="n">
        <f aca="false">IF(J82&gt;=0,1,0)</f>
        <v>1</v>
      </c>
      <c r="K86" s="93" t="n">
        <f aca="false">IF(K82&gt;=0,1,0)</f>
        <v>1</v>
      </c>
      <c r="L86" s="93" t="n">
        <f aca="false">IF(L82&gt;=0,1,0)</f>
        <v>1</v>
      </c>
      <c r="M86" s="93" t="n">
        <f aca="false">IF(M82&gt;=0,1,0)</f>
        <v>1</v>
      </c>
    </row>
    <row r="87" customFormat="false" ht="15" hidden="false" customHeight="false" outlineLevel="0" collapsed="false">
      <c r="A87" s="92" t="s">
        <v>652</v>
      </c>
      <c r="B87" s="93" t="n">
        <f aca="false">IF(B83&gt;0,1,0)</f>
        <v>0</v>
      </c>
      <c r="C87" s="93" t="n">
        <f aca="false">IF(C83&gt;0,1,0)</f>
        <v>0</v>
      </c>
      <c r="D87" s="93" t="n">
        <f aca="false">IF(D83&gt;0,1,0)</f>
        <v>0</v>
      </c>
      <c r="E87" s="93" t="n">
        <f aca="false">IF(E83&gt;0,1,0)</f>
        <v>1</v>
      </c>
      <c r="F87" s="93" t="n">
        <f aca="false">IF(F83&gt;0,1,0)</f>
        <v>1</v>
      </c>
      <c r="G87" s="93" t="n">
        <f aca="false">IF(G83&gt;0,1,0)</f>
        <v>1</v>
      </c>
      <c r="H87" s="93" t="n">
        <f aca="false">IF(H83&gt;0,1,0)</f>
        <v>1</v>
      </c>
      <c r="I87" s="93" t="n">
        <f aca="false">IF(I83&gt;0,1,0)</f>
        <v>1</v>
      </c>
      <c r="J87" s="93" t="n">
        <f aca="false">IF(J83&gt;0,1,0)</f>
        <v>1</v>
      </c>
      <c r="K87" s="93" t="n">
        <f aca="false">IF(K83&gt;0,1,0)</f>
        <v>1</v>
      </c>
      <c r="L87" s="93" t="n">
        <f aca="false">IF(L83&gt;0,1,0)</f>
        <v>1</v>
      </c>
      <c r="M87" s="93" t="n">
        <f aca="false">IF(M83&gt;0,1,0)</f>
        <v>1</v>
      </c>
    </row>
    <row r="88" customFormat="false" ht="15" hidden="false" customHeight="false" outlineLevel="0" collapsed="false">
      <c r="A88" s="92" t="s">
        <v>653</v>
      </c>
      <c r="B88" s="93" t="n">
        <f aca="false">IF(B84&gt;=0,1,0)</f>
        <v>0</v>
      </c>
      <c r="C88" s="93" t="n">
        <f aca="false">IF(C84&gt;=0,1,0)</f>
        <v>0</v>
      </c>
      <c r="D88" s="93" t="n">
        <f aca="false">IF(D84&gt;=0,1,0)</f>
        <v>0</v>
      </c>
      <c r="E88" s="93" t="n">
        <f aca="false">IF(E84&gt;=0,1,0)</f>
        <v>0</v>
      </c>
      <c r="F88" s="93" t="n">
        <f aca="false">IF(F84&gt;=0,1,0)</f>
        <v>0</v>
      </c>
      <c r="G88" s="93" t="n">
        <f aca="false">IF(G84&gt;=0,1,0)</f>
        <v>0</v>
      </c>
      <c r="H88" s="93" t="n">
        <f aca="false">IF(H84&gt;=0,1,0)</f>
        <v>1</v>
      </c>
      <c r="I88" s="93" t="n">
        <f aca="false">IF(I84&gt;=0,1,0)</f>
        <v>1</v>
      </c>
      <c r="J88" s="93" t="n">
        <f aca="false">IF(J84&gt;=0,1,0)</f>
        <v>1</v>
      </c>
      <c r="K88" s="93" t="n">
        <f aca="false">IF(K84&gt;=0,1,0)</f>
        <v>1</v>
      </c>
      <c r="L88" s="93" t="n">
        <f aca="false">IF(L84&gt;=0,1,0)</f>
        <v>1</v>
      </c>
      <c r="M88" s="93" t="n">
        <f aca="false">IF(M84&gt;=0,1,0)</f>
        <v>1</v>
      </c>
    </row>
    <row r="90" customFormat="false" ht="15" hidden="false" customHeight="false" outlineLevel="0" collapsed="false">
      <c r="A90" s="4" t="str">
        <f aca="false">" Alternative price "&amp;TEXT(C$7,"$0.00")</f>
        <v> Alternative price $7.00</v>
      </c>
      <c r="B90" s="4"/>
      <c r="C90" s="4"/>
      <c r="D90" s="4"/>
      <c r="E90" s="4"/>
      <c r="F90" s="4"/>
      <c r="G90" s="4"/>
      <c r="H90" s="4"/>
      <c r="I90" s="4"/>
      <c r="J90" s="4"/>
      <c r="K90" s="4"/>
      <c r="L90" s="4"/>
      <c r="M90" s="4"/>
    </row>
    <row r="91" customFormat="false" ht="15" hidden="false" customHeight="false" outlineLevel="0" collapsed="false">
      <c r="A91" s="13" t="s">
        <v>646</v>
      </c>
      <c r="B91" s="91" t="n">
        <f aca="false">'Forecast 12M'!B$18*($C$7-$C$8)-'Forecast 12M'!B$21-'Forecast 12M'!B$24</f>
        <v>-78.125</v>
      </c>
      <c r="C91" s="91" t="n">
        <f aca="false">'Forecast 12M'!C$18*($C$7-$C$8)-'Forecast 12M'!C$21-'Forecast 12M'!C$24</f>
        <v>-13.9075</v>
      </c>
      <c r="D91" s="91" t="n">
        <f aca="false">'Forecast 12M'!D$18*($C$7-$C$8)-'Forecast 12M'!D$21-'Forecast 12M'!D$24</f>
        <v>50.31</v>
      </c>
      <c r="E91" s="91" t="n">
        <f aca="false">'Forecast 12M'!E$18*($C$7-$C$8)-'Forecast 12M'!E$21-'Forecast 12M'!E$24</f>
        <v>114.5275</v>
      </c>
      <c r="F91" s="91" t="n">
        <f aca="false">'Forecast 12M'!F$18*($C$7-$C$8)-'Forecast 12M'!F$21-'Forecast 12M'!F$24</f>
        <v>164.57</v>
      </c>
      <c r="G91" s="91" t="n">
        <f aca="false">'Forecast 12M'!G$18*($C$7-$C$8)-'Forecast 12M'!G$21-'Forecast 12M'!G$24</f>
        <v>228.525</v>
      </c>
      <c r="H91" s="91" t="n">
        <f aca="false">'Forecast 12M'!H$18*($C$7-$C$8)-'Forecast 12M'!H$21-'Forecast 12M'!H$24</f>
        <v>292.48</v>
      </c>
      <c r="I91" s="91" t="n">
        <f aca="false">'Forecast 12M'!I$18*($C$7-$C$8)-'Forecast 12M'!I$21-'Forecast 12M'!I$24</f>
        <v>292.48</v>
      </c>
      <c r="J91" s="91" t="n">
        <f aca="false">'Forecast 12M'!J$18*($C$7-$C$8)-'Forecast 12M'!J$21-'Forecast 12M'!J$24</f>
        <v>292.48</v>
      </c>
      <c r="K91" s="91" t="n">
        <f aca="false">'Forecast 12M'!K$18*($C$7-$C$8)-'Forecast 12M'!K$21-'Forecast 12M'!K$24</f>
        <v>292.48</v>
      </c>
      <c r="L91" s="91" t="n">
        <f aca="false">'Forecast 12M'!L$18*($C$7-$C$8)-'Forecast 12M'!L$21-'Forecast 12M'!L$24</f>
        <v>292.48</v>
      </c>
      <c r="M91" s="91" t="n">
        <f aca="false">'Forecast 12M'!M$18*($C$7-$C$8)-'Forecast 12M'!M$21-'Forecast 12M'!M$24</f>
        <v>292.48</v>
      </c>
    </row>
    <row r="92" customFormat="false" ht="15" hidden="false" customHeight="false" outlineLevel="0" collapsed="false">
      <c r="A92" s="13" t="s">
        <v>647</v>
      </c>
      <c r="B92" s="91" t="n">
        <f aca="false">Assumptions!$B$31+SUM($B91:B91)</f>
        <v>-78.125</v>
      </c>
      <c r="C92" s="91" t="n">
        <f aca="false">Assumptions!$B$31+SUM($B91:C91)</f>
        <v>-92.0325</v>
      </c>
      <c r="D92" s="91" t="n">
        <f aca="false">Assumptions!$B$31+SUM($B91:D91)</f>
        <v>-41.7225</v>
      </c>
      <c r="E92" s="91" t="n">
        <f aca="false">Assumptions!$B$31+SUM($B91:E91)</f>
        <v>72.805</v>
      </c>
      <c r="F92" s="91" t="n">
        <f aca="false">Assumptions!$B$31+SUM($B91:F91)</f>
        <v>237.375</v>
      </c>
      <c r="G92" s="91" t="n">
        <f aca="false">Assumptions!$B$31+SUM($B91:G91)</f>
        <v>465.9</v>
      </c>
      <c r="H92" s="91" t="n">
        <f aca="false">Assumptions!$B$31+SUM($B91:H91)</f>
        <v>758.38</v>
      </c>
      <c r="I92" s="91" t="n">
        <f aca="false">Assumptions!$B$31+SUM($B91:I91)</f>
        <v>1050.86</v>
      </c>
      <c r="J92" s="91" t="n">
        <f aca="false">Assumptions!$B$31+SUM($B91:J91)</f>
        <v>1343.34</v>
      </c>
      <c r="K92" s="91" t="n">
        <f aca="false">Assumptions!$B$31+SUM($B91:K91)</f>
        <v>1635.82</v>
      </c>
      <c r="L92" s="91" t="n">
        <f aca="false">Assumptions!$B$31+SUM($B91:L91)</f>
        <v>1928.3</v>
      </c>
      <c r="M92" s="91" t="n">
        <f aca="false">Assumptions!$B$31+SUM($B91:M91)</f>
        <v>2220.78</v>
      </c>
    </row>
    <row r="93" customFormat="false" ht="15" hidden="false" customHeight="false" outlineLevel="0" collapsed="false">
      <c r="A93" s="13" t="s">
        <v>648</v>
      </c>
      <c r="B93" s="91" t="n">
        <f aca="false">B91-$C$14*Assumptions!$B$10</f>
        <v>-206.035</v>
      </c>
      <c r="C93" s="91" t="n">
        <f aca="false">C91-$C$14*Assumptions!$B$10</f>
        <v>-141.8175</v>
      </c>
      <c r="D93" s="91" t="n">
        <f aca="false">D91-$C$14*Assumptions!$B$10</f>
        <v>-77.6</v>
      </c>
      <c r="E93" s="91" t="n">
        <f aca="false">E91-$C$14*Assumptions!$B$10</f>
        <v>-13.3825</v>
      </c>
      <c r="F93" s="91" t="n">
        <f aca="false">F91-$C$14*Assumptions!$B$10</f>
        <v>36.66</v>
      </c>
      <c r="G93" s="91" t="n">
        <f aca="false">G91-$C$14*Assumptions!$B$10</f>
        <v>100.615</v>
      </c>
      <c r="H93" s="91" t="n">
        <f aca="false">H91-$C$14*Assumptions!$B$10</f>
        <v>164.57</v>
      </c>
      <c r="I93" s="91" t="n">
        <f aca="false">I91-$C$14*Assumptions!$B$10</f>
        <v>164.57</v>
      </c>
      <c r="J93" s="91" t="n">
        <f aca="false">J91-$C$14*Assumptions!$B$10</f>
        <v>164.57</v>
      </c>
      <c r="K93" s="91" t="n">
        <f aca="false">K91-$C$14*Assumptions!$B$10</f>
        <v>164.57</v>
      </c>
      <c r="L93" s="91" t="n">
        <f aca="false">L91-$C$14*Assumptions!$B$10</f>
        <v>164.57</v>
      </c>
      <c r="M93" s="91" t="n">
        <f aca="false">M91-$C$14*Assumptions!$B$10</f>
        <v>164.57</v>
      </c>
    </row>
    <row r="94" customFormat="false" ht="15" hidden="false" customHeight="false" outlineLevel="0" collapsed="false">
      <c r="A94" s="13" t="s">
        <v>649</v>
      </c>
      <c r="B94" s="91" t="n">
        <f aca="false">Assumptions!$B$31+SUM($B93:B93)</f>
        <v>-206.035</v>
      </c>
      <c r="C94" s="91" t="n">
        <f aca="false">Assumptions!$B$31+SUM($B93:C93)</f>
        <v>-347.8525</v>
      </c>
      <c r="D94" s="91" t="n">
        <f aca="false">Assumptions!$B$31+SUM($B93:D93)</f>
        <v>-425.4525</v>
      </c>
      <c r="E94" s="91" t="n">
        <f aca="false">Assumptions!$B$31+SUM($B93:E93)</f>
        <v>-438.835</v>
      </c>
      <c r="F94" s="91" t="n">
        <f aca="false">Assumptions!$B$31+SUM($B93:F93)</f>
        <v>-402.175</v>
      </c>
      <c r="G94" s="91" t="n">
        <f aca="false">Assumptions!$B$31+SUM($B93:G93)</f>
        <v>-301.56</v>
      </c>
      <c r="H94" s="91" t="n">
        <f aca="false">Assumptions!$B$31+SUM($B93:H93)</f>
        <v>-136.99</v>
      </c>
      <c r="I94" s="91" t="n">
        <f aca="false">Assumptions!$B$31+SUM($B93:I93)</f>
        <v>27.5799999999999</v>
      </c>
      <c r="J94" s="91" t="n">
        <f aca="false">Assumptions!$B$31+SUM($B93:J93)</f>
        <v>192.15</v>
      </c>
      <c r="K94" s="91" t="n">
        <f aca="false">Assumptions!$B$31+SUM($B93:K93)</f>
        <v>356.72</v>
      </c>
      <c r="L94" s="91" t="n">
        <f aca="false">Assumptions!$B$31+SUM($B93:L93)</f>
        <v>521.29</v>
      </c>
      <c r="M94" s="91" t="n">
        <f aca="false">Assumptions!$B$31+SUM($B93:M93)</f>
        <v>685.86</v>
      </c>
    </row>
    <row r="95" customFormat="false" ht="15" hidden="false" customHeight="false" outlineLevel="0" collapsed="false">
      <c r="A95" s="92" t="s">
        <v>650</v>
      </c>
      <c r="B95" s="93" t="n">
        <f aca="false">IF(B91&gt;0,1,0)</f>
        <v>0</v>
      </c>
      <c r="C95" s="93" t="n">
        <f aca="false">IF(C91&gt;0,1,0)</f>
        <v>0</v>
      </c>
      <c r="D95" s="93" t="n">
        <f aca="false">IF(D91&gt;0,1,0)</f>
        <v>1</v>
      </c>
      <c r="E95" s="93" t="n">
        <f aca="false">IF(E91&gt;0,1,0)</f>
        <v>1</v>
      </c>
      <c r="F95" s="93" t="n">
        <f aca="false">IF(F91&gt;0,1,0)</f>
        <v>1</v>
      </c>
      <c r="G95" s="93" t="n">
        <f aca="false">IF(G91&gt;0,1,0)</f>
        <v>1</v>
      </c>
      <c r="H95" s="93" t="n">
        <f aca="false">IF(H91&gt;0,1,0)</f>
        <v>1</v>
      </c>
      <c r="I95" s="93" t="n">
        <f aca="false">IF(I91&gt;0,1,0)</f>
        <v>1</v>
      </c>
      <c r="J95" s="93" t="n">
        <f aca="false">IF(J91&gt;0,1,0)</f>
        <v>1</v>
      </c>
      <c r="K95" s="93" t="n">
        <f aca="false">IF(K91&gt;0,1,0)</f>
        <v>1</v>
      </c>
      <c r="L95" s="93" t="n">
        <f aca="false">IF(L91&gt;0,1,0)</f>
        <v>1</v>
      </c>
      <c r="M95" s="93" t="n">
        <f aca="false">IF(M91&gt;0,1,0)</f>
        <v>1</v>
      </c>
    </row>
    <row r="96" customFormat="false" ht="15" hidden="false" customHeight="false" outlineLevel="0" collapsed="false">
      <c r="A96" s="92" t="s">
        <v>651</v>
      </c>
      <c r="B96" s="93" t="n">
        <f aca="false">IF(B92&gt;=0,1,0)</f>
        <v>0</v>
      </c>
      <c r="C96" s="93" t="n">
        <f aca="false">IF(C92&gt;=0,1,0)</f>
        <v>0</v>
      </c>
      <c r="D96" s="93" t="n">
        <f aca="false">IF(D92&gt;=0,1,0)</f>
        <v>0</v>
      </c>
      <c r="E96" s="93" t="n">
        <f aca="false">IF(E92&gt;=0,1,0)</f>
        <v>1</v>
      </c>
      <c r="F96" s="93" t="n">
        <f aca="false">IF(F92&gt;=0,1,0)</f>
        <v>1</v>
      </c>
      <c r="G96" s="93" t="n">
        <f aca="false">IF(G92&gt;=0,1,0)</f>
        <v>1</v>
      </c>
      <c r="H96" s="93" t="n">
        <f aca="false">IF(H92&gt;=0,1,0)</f>
        <v>1</v>
      </c>
      <c r="I96" s="93" t="n">
        <f aca="false">IF(I92&gt;=0,1,0)</f>
        <v>1</v>
      </c>
      <c r="J96" s="93" t="n">
        <f aca="false">IF(J92&gt;=0,1,0)</f>
        <v>1</v>
      </c>
      <c r="K96" s="93" t="n">
        <f aca="false">IF(K92&gt;=0,1,0)</f>
        <v>1</v>
      </c>
      <c r="L96" s="93" t="n">
        <f aca="false">IF(L92&gt;=0,1,0)</f>
        <v>1</v>
      </c>
      <c r="M96" s="93" t="n">
        <f aca="false">IF(M92&gt;=0,1,0)</f>
        <v>1</v>
      </c>
    </row>
    <row r="97" customFormat="false" ht="15" hidden="false" customHeight="false" outlineLevel="0" collapsed="false">
      <c r="A97" s="92" t="s">
        <v>652</v>
      </c>
      <c r="B97" s="93" t="n">
        <f aca="false">IF(B93&gt;0,1,0)</f>
        <v>0</v>
      </c>
      <c r="C97" s="93" t="n">
        <f aca="false">IF(C93&gt;0,1,0)</f>
        <v>0</v>
      </c>
      <c r="D97" s="93" t="n">
        <f aca="false">IF(D93&gt;0,1,0)</f>
        <v>0</v>
      </c>
      <c r="E97" s="93" t="n">
        <f aca="false">IF(E93&gt;0,1,0)</f>
        <v>0</v>
      </c>
      <c r="F97" s="93" t="n">
        <f aca="false">IF(F93&gt;0,1,0)</f>
        <v>1</v>
      </c>
      <c r="G97" s="93" t="n">
        <f aca="false">IF(G93&gt;0,1,0)</f>
        <v>1</v>
      </c>
      <c r="H97" s="93" t="n">
        <f aca="false">IF(H93&gt;0,1,0)</f>
        <v>1</v>
      </c>
      <c r="I97" s="93" t="n">
        <f aca="false">IF(I93&gt;0,1,0)</f>
        <v>1</v>
      </c>
      <c r="J97" s="93" t="n">
        <f aca="false">IF(J93&gt;0,1,0)</f>
        <v>1</v>
      </c>
      <c r="K97" s="93" t="n">
        <f aca="false">IF(K93&gt;0,1,0)</f>
        <v>1</v>
      </c>
      <c r="L97" s="93" t="n">
        <f aca="false">IF(L93&gt;0,1,0)</f>
        <v>1</v>
      </c>
      <c r="M97" s="93" t="n">
        <f aca="false">IF(M93&gt;0,1,0)</f>
        <v>1</v>
      </c>
    </row>
    <row r="98" customFormat="false" ht="15" hidden="false" customHeight="false" outlineLevel="0" collapsed="false">
      <c r="A98" s="92" t="s">
        <v>653</v>
      </c>
      <c r="B98" s="93" t="n">
        <f aca="false">IF(B94&gt;=0,1,0)</f>
        <v>0</v>
      </c>
      <c r="C98" s="93" t="n">
        <f aca="false">IF(C94&gt;=0,1,0)</f>
        <v>0</v>
      </c>
      <c r="D98" s="93" t="n">
        <f aca="false">IF(D94&gt;=0,1,0)</f>
        <v>0</v>
      </c>
      <c r="E98" s="93" t="n">
        <f aca="false">IF(E94&gt;=0,1,0)</f>
        <v>0</v>
      </c>
      <c r="F98" s="93" t="n">
        <f aca="false">IF(F94&gt;=0,1,0)</f>
        <v>0</v>
      </c>
      <c r="G98" s="93" t="n">
        <f aca="false">IF(G94&gt;=0,1,0)</f>
        <v>0</v>
      </c>
      <c r="H98" s="93" t="n">
        <f aca="false">IF(H94&gt;=0,1,0)</f>
        <v>0</v>
      </c>
      <c r="I98" s="93" t="n">
        <f aca="false">IF(I94&gt;=0,1,0)</f>
        <v>1</v>
      </c>
      <c r="J98" s="93" t="n">
        <f aca="false">IF(J94&gt;=0,1,0)</f>
        <v>1</v>
      </c>
      <c r="K98" s="93" t="n">
        <f aca="false">IF(K94&gt;=0,1,0)</f>
        <v>1</v>
      </c>
      <c r="L98" s="93" t="n">
        <f aca="false">IF(L94&gt;=0,1,0)</f>
        <v>1</v>
      </c>
      <c r="M98" s="93" t="n">
        <f aca="false">IF(M94&gt;=0,1,0)</f>
        <v>1</v>
      </c>
    </row>
    <row r="100" customFormat="false" ht="15" hidden="false" customHeight="false" outlineLevel="0" collapsed="false">
      <c r="A100" s="4" t="str">
        <f aca="false">" Alternative price "&amp;TEXT(D$7,"$0.00")</f>
        <v> Alternative price $5.00</v>
      </c>
      <c r="B100" s="4"/>
      <c r="C100" s="4"/>
      <c r="D100" s="4"/>
      <c r="E100" s="4"/>
      <c r="F100" s="4"/>
      <c r="G100" s="4"/>
      <c r="H100" s="4"/>
      <c r="I100" s="4"/>
      <c r="J100" s="4"/>
      <c r="K100" s="4"/>
      <c r="L100" s="4"/>
      <c r="M100" s="4"/>
    </row>
    <row r="101" customFormat="false" ht="15" hidden="false" customHeight="false" outlineLevel="0" collapsed="false">
      <c r="A101" s="13" t="s">
        <v>646</v>
      </c>
      <c r="B101" s="91" t="n">
        <f aca="false">'Forecast 12M'!B$18*($D$7-$D$8)-'Forecast 12M'!B$21-'Forecast 12M'!B$24</f>
        <v>-78.125</v>
      </c>
      <c r="C101" s="91" t="n">
        <f aca="false">'Forecast 12M'!C$18*($D$7-$D$8)-'Forecast 12M'!C$21-'Forecast 12M'!C$24</f>
        <v>-33.1875</v>
      </c>
      <c r="D101" s="91" t="n">
        <f aca="false">'Forecast 12M'!D$18*($D$7-$D$8)-'Forecast 12M'!D$21-'Forecast 12M'!D$24</f>
        <v>11.75</v>
      </c>
      <c r="E101" s="91" t="n">
        <f aca="false">'Forecast 12M'!E$18*($D$7-$D$8)-'Forecast 12M'!E$21-'Forecast 12M'!E$24</f>
        <v>56.6875</v>
      </c>
      <c r="F101" s="91" t="n">
        <f aca="false">'Forecast 12M'!F$18*($D$7-$D$8)-'Forecast 12M'!F$21-'Forecast 12M'!F$24</f>
        <v>87.45</v>
      </c>
      <c r="G101" s="91" t="n">
        <f aca="false">'Forecast 12M'!G$18*($D$7-$D$8)-'Forecast 12M'!G$21-'Forecast 12M'!G$24</f>
        <v>132.125</v>
      </c>
      <c r="H101" s="91" t="n">
        <f aca="false">'Forecast 12M'!H$18*($D$7-$D$8)-'Forecast 12M'!H$21-'Forecast 12M'!H$24</f>
        <v>176.8</v>
      </c>
      <c r="I101" s="91" t="n">
        <f aca="false">'Forecast 12M'!I$18*($D$7-$D$8)-'Forecast 12M'!I$21-'Forecast 12M'!I$24</f>
        <v>176.8</v>
      </c>
      <c r="J101" s="91" t="n">
        <f aca="false">'Forecast 12M'!J$18*($D$7-$D$8)-'Forecast 12M'!J$21-'Forecast 12M'!J$24</f>
        <v>176.8</v>
      </c>
      <c r="K101" s="91" t="n">
        <f aca="false">'Forecast 12M'!K$18*($D$7-$D$8)-'Forecast 12M'!K$21-'Forecast 12M'!K$24</f>
        <v>176.8</v>
      </c>
      <c r="L101" s="91" t="n">
        <f aca="false">'Forecast 12M'!L$18*($D$7-$D$8)-'Forecast 12M'!L$21-'Forecast 12M'!L$24</f>
        <v>176.8</v>
      </c>
      <c r="M101" s="91" t="n">
        <f aca="false">'Forecast 12M'!M$18*($D$7-$D$8)-'Forecast 12M'!M$21-'Forecast 12M'!M$24</f>
        <v>176.8</v>
      </c>
    </row>
    <row r="102" customFormat="false" ht="15" hidden="false" customHeight="false" outlineLevel="0" collapsed="false">
      <c r="A102" s="13" t="s">
        <v>647</v>
      </c>
      <c r="B102" s="91" t="n">
        <f aca="false">Assumptions!$B$31+SUM($B101:B101)</f>
        <v>-78.125</v>
      </c>
      <c r="C102" s="91" t="n">
        <f aca="false">Assumptions!$B$31+SUM($B101:C101)</f>
        <v>-111.3125</v>
      </c>
      <c r="D102" s="91" t="n">
        <f aca="false">Assumptions!$B$31+SUM($B101:D101)</f>
        <v>-99.5625</v>
      </c>
      <c r="E102" s="91" t="n">
        <f aca="false">Assumptions!$B$31+SUM($B101:E101)</f>
        <v>-42.875</v>
      </c>
      <c r="F102" s="91" t="n">
        <f aca="false">Assumptions!$B$31+SUM($B101:F101)</f>
        <v>44.575</v>
      </c>
      <c r="G102" s="91" t="n">
        <f aca="false">Assumptions!$B$31+SUM($B101:G101)</f>
        <v>176.7</v>
      </c>
      <c r="H102" s="91" t="n">
        <f aca="false">Assumptions!$B$31+SUM($B101:H101)</f>
        <v>353.5</v>
      </c>
      <c r="I102" s="91" t="n">
        <f aca="false">Assumptions!$B$31+SUM($B101:I101)</f>
        <v>530.3</v>
      </c>
      <c r="J102" s="91" t="n">
        <f aca="false">Assumptions!$B$31+SUM($B101:J101)</f>
        <v>707.1</v>
      </c>
      <c r="K102" s="91" t="n">
        <f aca="false">Assumptions!$B$31+SUM($B101:K101)</f>
        <v>883.9</v>
      </c>
      <c r="L102" s="91" t="n">
        <f aca="false">Assumptions!$B$31+SUM($B101:L101)</f>
        <v>1060.7</v>
      </c>
      <c r="M102" s="91" t="n">
        <f aca="false">Assumptions!$B$31+SUM($B101:M101)</f>
        <v>1237.5</v>
      </c>
    </row>
    <row r="103" customFormat="false" ht="15" hidden="false" customHeight="false" outlineLevel="0" collapsed="false">
      <c r="A103" s="13" t="s">
        <v>648</v>
      </c>
      <c r="B103" s="91" t="n">
        <f aca="false">B101-$D$14*Assumptions!$B$10</f>
        <v>-167.475</v>
      </c>
      <c r="C103" s="91" t="n">
        <f aca="false">C101-$D$14*Assumptions!$B$10</f>
        <v>-122.5375</v>
      </c>
      <c r="D103" s="91" t="n">
        <f aca="false">D101-$D$14*Assumptions!$B$10</f>
        <v>-77.6</v>
      </c>
      <c r="E103" s="91" t="n">
        <f aca="false">E101-$D$14*Assumptions!$B$10</f>
        <v>-32.6625</v>
      </c>
      <c r="F103" s="91" t="n">
        <f aca="false">F101-$D$14*Assumptions!$B$10</f>
        <v>-1.90000000000001</v>
      </c>
      <c r="G103" s="91" t="n">
        <f aca="false">G101-$D$14*Assumptions!$B$10</f>
        <v>42.775</v>
      </c>
      <c r="H103" s="91" t="n">
        <f aca="false">H101-$D$14*Assumptions!$B$10</f>
        <v>87.45</v>
      </c>
      <c r="I103" s="91" t="n">
        <f aca="false">I101-$D$14*Assumptions!$B$10</f>
        <v>87.45</v>
      </c>
      <c r="J103" s="91" t="n">
        <f aca="false">J101-$D$14*Assumptions!$B$10</f>
        <v>87.45</v>
      </c>
      <c r="K103" s="91" t="n">
        <f aca="false">K101-$D$14*Assumptions!$B$10</f>
        <v>87.45</v>
      </c>
      <c r="L103" s="91" t="n">
        <f aca="false">L101-$D$14*Assumptions!$B$10</f>
        <v>87.45</v>
      </c>
      <c r="M103" s="91" t="n">
        <f aca="false">M101-$D$14*Assumptions!$B$10</f>
        <v>87.45</v>
      </c>
    </row>
    <row r="104" customFormat="false" ht="15" hidden="false" customHeight="false" outlineLevel="0" collapsed="false">
      <c r="A104" s="13" t="s">
        <v>649</v>
      </c>
      <c r="B104" s="91" t="n">
        <f aca="false">Assumptions!$B$31+SUM($B103:B103)</f>
        <v>-167.475</v>
      </c>
      <c r="C104" s="91" t="n">
        <f aca="false">Assumptions!$B$31+SUM($B103:C103)</f>
        <v>-290.0125</v>
      </c>
      <c r="D104" s="91" t="n">
        <f aca="false">Assumptions!$B$31+SUM($B103:D103)</f>
        <v>-367.6125</v>
      </c>
      <c r="E104" s="91" t="n">
        <f aca="false">Assumptions!$B$31+SUM($B103:E103)</f>
        <v>-400.275</v>
      </c>
      <c r="F104" s="91" t="n">
        <f aca="false">Assumptions!$B$31+SUM($B103:F103)</f>
        <v>-402.175</v>
      </c>
      <c r="G104" s="91" t="n">
        <f aca="false">Assumptions!$B$31+SUM($B103:G103)</f>
        <v>-359.4</v>
      </c>
      <c r="H104" s="91" t="n">
        <f aca="false">Assumptions!$B$31+SUM($B103:H103)</f>
        <v>-271.95</v>
      </c>
      <c r="I104" s="91" t="n">
        <f aca="false">Assumptions!$B$31+SUM($B103:I103)</f>
        <v>-184.5</v>
      </c>
      <c r="J104" s="91" t="n">
        <f aca="false">Assumptions!$B$31+SUM($B103:J103)</f>
        <v>-97.05</v>
      </c>
      <c r="K104" s="91" t="n">
        <f aca="false">Assumptions!$B$31+SUM($B103:K103)</f>
        <v>-9.60000000000005</v>
      </c>
      <c r="L104" s="91" t="n">
        <f aca="false">Assumptions!$B$31+SUM($B103:L103)</f>
        <v>77.8499999999999</v>
      </c>
      <c r="M104" s="91" t="n">
        <f aca="false">Assumptions!$B$31+SUM($B103:M103)</f>
        <v>165.3</v>
      </c>
    </row>
    <row r="105" customFormat="false" ht="15" hidden="false" customHeight="false" outlineLevel="0" collapsed="false">
      <c r="A105" s="92" t="s">
        <v>650</v>
      </c>
      <c r="B105" s="93" t="n">
        <f aca="false">IF(B101&gt;0,1,0)</f>
        <v>0</v>
      </c>
      <c r="C105" s="93" t="n">
        <f aca="false">IF(C101&gt;0,1,0)</f>
        <v>0</v>
      </c>
      <c r="D105" s="93" t="n">
        <f aca="false">IF(D101&gt;0,1,0)</f>
        <v>1</v>
      </c>
      <c r="E105" s="93" t="n">
        <f aca="false">IF(E101&gt;0,1,0)</f>
        <v>1</v>
      </c>
      <c r="F105" s="93" t="n">
        <f aca="false">IF(F101&gt;0,1,0)</f>
        <v>1</v>
      </c>
      <c r="G105" s="93" t="n">
        <f aca="false">IF(G101&gt;0,1,0)</f>
        <v>1</v>
      </c>
      <c r="H105" s="93" t="n">
        <f aca="false">IF(H101&gt;0,1,0)</f>
        <v>1</v>
      </c>
      <c r="I105" s="93" t="n">
        <f aca="false">IF(I101&gt;0,1,0)</f>
        <v>1</v>
      </c>
      <c r="J105" s="93" t="n">
        <f aca="false">IF(J101&gt;0,1,0)</f>
        <v>1</v>
      </c>
      <c r="K105" s="93" t="n">
        <f aca="false">IF(K101&gt;0,1,0)</f>
        <v>1</v>
      </c>
      <c r="L105" s="93" t="n">
        <f aca="false">IF(L101&gt;0,1,0)</f>
        <v>1</v>
      </c>
      <c r="M105" s="93" t="n">
        <f aca="false">IF(M101&gt;0,1,0)</f>
        <v>1</v>
      </c>
    </row>
    <row r="106" customFormat="false" ht="15" hidden="false" customHeight="false" outlineLevel="0" collapsed="false">
      <c r="A106" s="92" t="s">
        <v>651</v>
      </c>
      <c r="B106" s="93" t="n">
        <f aca="false">IF(B102&gt;=0,1,0)</f>
        <v>0</v>
      </c>
      <c r="C106" s="93" t="n">
        <f aca="false">IF(C102&gt;=0,1,0)</f>
        <v>0</v>
      </c>
      <c r="D106" s="93" t="n">
        <f aca="false">IF(D102&gt;=0,1,0)</f>
        <v>0</v>
      </c>
      <c r="E106" s="93" t="n">
        <f aca="false">IF(E102&gt;=0,1,0)</f>
        <v>0</v>
      </c>
      <c r="F106" s="93" t="n">
        <f aca="false">IF(F102&gt;=0,1,0)</f>
        <v>1</v>
      </c>
      <c r="G106" s="93" t="n">
        <f aca="false">IF(G102&gt;=0,1,0)</f>
        <v>1</v>
      </c>
      <c r="H106" s="93" t="n">
        <f aca="false">IF(H102&gt;=0,1,0)</f>
        <v>1</v>
      </c>
      <c r="I106" s="93" t="n">
        <f aca="false">IF(I102&gt;=0,1,0)</f>
        <v>1</v>
      </c>
      <c r="J106" s="93" t="n">
        <f aca="false">IF(J102&gt;=0,1,0)</f>
        <v>1</v>
      </c>
      <c r="K106" s="93" t="n">
        <f aca="false">IF(K102&gt;=0,1,0)</f>
        <v>1</v>
      </c>
      <c r="L106" s="93" t="n">
        <f aca="false">IF(L102&gt;=0,1,0)</f>
        <v>1</v>
      </c>
      <c r="M106" s="93" t="n">
        <f aca="false">IF(M102&gt;=0,1,0)</f>
        <v>1</v>
      </c>
    </row>
    <row r="107" customFormat="false" ht="15" hidden="false" customHeight="false" outlineLevel="0" collapsed="false">
      <c r="A107" s="92" t="s">
        <v>652</v>
      </c>
      <c r="B107" s="93" t="n">
        <f aca="false">IF(B103&gt;0,1,0)</f>
        <v>0</v>
      </c>
      <c r="C107" s="93" t="n">
        <f aca="false">IF(C103&gt;0,1,0)</f>
        <v>0</v>
      </c>
      <c r="D107" s="93" t="n">
        <f aca="false">IF(D103&gt;0,1,0)</f>
        <v>0</v>
      </c>
      <c r="E107" s="93" t="n">
        <f aca="false">IF(E103&gt;0,1,0)</f>
        <v>0</v>
      </c>
      <c r="F107" s="93" t="n">
        <f aca="false">IF(F103&gt;0,1,0)</f>
        <v>0</v>
      </c>
      <c r="G107" s="93" t="n">
        <f aca="false">IF(G103&gt;0,1,0)</f>
        <v>1</v>
      </c>
      <c r="H107" s="93" t="n">
        <f aca="false">IF(H103&gt;0,1,0)</f>
        <v>1</v>
      </c>
      <c r="I107" s="93" t="n">
        <f aca="false">IF(I103&gt;0,1,0)</f>
        <v>1</v>
      </c>
      <c r="J107" s="93" t="n">
        <f aca="false">IF(J103&gt;0,1,0)</f>
        <v>1</v>
      </c>
      <c r="K107" s="93" t="n">
        <f aca="false">IF(K103&gt;0,1,0)</f>
        <v>1</v>
      </c>
      <c r="L107" s="93" t="n">
        <f aca="false">IF(L103&gt;0,1,0)</f>
        <v>1</v>
      </c>
      <c r="M107" s="93" t="n">
        <f aca="false">IF(M103&gt;0,1,0)</f>
        <v>1</v>
      </c>
    </row>
    <row r="108" customFormat="false" ht="15" hidden="false" customHeight="false" outlineLevel="0" collapsed="false">
      <c r="A108" s="92" t="s">
        <v>653</v>
      </c>
      <c r="B108" s="93" t="n">
        <f aca="false">IF(B104&gt;=0,1,0)</f>
        <v>0</v>
      </c>
      <c r="C108" s="93" t="n">
        <f aca="false">IF(C104&gt;=0,1,0)</f>
        <v>0</v>
      </c>
      <c r="D108" s="93" t="n">
        <f aca="false">IF(D104&gt;=0,1,0)</f>
        <v>0</v>
      </c>
      <c r="E108" s="93" t="n">
        <f aca="false">IF(E104&gt;=0,1,0)</f>
        <v>0</v>
      </c>
      <c r="F108" s="93" t="n">
        <f aca="false">IF(F104&gt;=0,1,0)</f>
        <v>0</v>
      </c>
      <c r="G108" s="93" t="n">
        <f aca="false">IF(G104&gt;=0,1,0)</f>
        <v>0</v>
      </c>
      <c r="H108" s="93" t="n">
        <f aca="false">IF(H104&gt;=0,1,0)</f>
        <v>0</v>
      </c>
      <c r="I108" s="93" t="n">
        <f aca="false">IF(I104&gt;=0,1,0)</f>
        <v>0</v>
      </c>
      <c r="J108" s="93" t="n">
        <f aca="false">IF(J104&gt;=0,1,0)</f>
        <v>0</v>
      </c>
      <c r="K108" s="93" t="n">
        <f aca="false">IF(K104&gt;=0,1,0)</f>
        <v>0</v>
      </c>
      <c r="L108" s="93" t="n">
        <f aca="false">IF(L104&gt;=0,1,0)</f>
        <v>1</v>
      </c>
      <c r="M108" s="93" t="n">
        <f aca="false">IF(M104&gt;=0,1,0)</f>
        <v>1</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7"/>
    <col collapsed="false" customWidth="true" hidden="false" outlineLevel="0" max="6" min="6" style="0" width="13"/>
    <col collapsed="false" customWidth="true" hidden="false" outlineLevel="0" max="7" min="7" style="0" width="45"/>
  </cols>
  <sheetData>
    <row r="1" customFormat="false" ht="33.75" hidden="false" customHeight="true" outlineLevel="0" collapsed="false">
      <c r="A1" s="1" t="s">
        <v>654</v>
      </c>
      <c r="B1" s="1"/>
      <c r="C1" s="1"/>
      <c r="D1" s="1"/>
      <c r="E1" s="1"/>
      <c r="F1" s="1"/>
      <c r="G1" s="1"/>
    </row>
    <row r="2" customFormat="false" ht="31.5" hidden="false" customHeight="true" outlineLevel="0" collapsed="false">
      <c r="A2" s="3" t="s">
        <v>655</v>
      </c>
      <c r="B2" s="3"/>
      <c r="C2" s="3"/>
      <c r="D2" s="3"/>
      <c r="E2" s="3"/>
      <c r="F2" s="3"/>
      <c r="G2" s="3"/>
    </row>
    <row r="3" customFormat="false" ht="31.5" hidden="false" customHeight="true" outlineLevel="0" collapsed="false">
      <c r="A3" s="3"/>
      <c r="B3" s="3"/>
      <c r="C3" s="3"/>
      <c r="D3" s="3"/>
      <c r="E3" s="3"/>
      <c r="F3" s="3"/>
      <c r="G3" s="3"/>
    </row>
    <row r="4" customFormat="false" ht="25.5" hidden="false" customHeight="true" outlineLevel="0" collapsed="false">
      <c r="A4" s="4" t="s">
        <v>656</v>
      </c>
      <c r="B4" s="4" t="s">
        <v>657</v>
      </c>
      <c r="C4" s="4" t="s">
        <v>658</v>
      </c>
      <c r="D4" s="4" t="s">
        <v>659</v>
      </c>
      <c r="E4" s="4" t="s">
        <v>660</v>
      </c>
      <c r="F4" s="4" t="s">
        <v>407</v>
      </c>
      <c r="G4" s="4" t="s">
        <v>661</v>
      </c>
    </row>
    <row r="5" customFormat="false" ht="15" hidden="false" customHeight="false" outlineLevel="0" collapsed="false">
      <c r="A5" s="13" t="s">
        <v>662</v>
      </c>
      <c r="B5" s="110" t="n">
        <f aca="false">Assumptions!B10</f>
        <v>10</v>
      </c>
      <c r="C5" s="110" t="n">
        <f aca="false">Assumptions!B9*Assumptions!B8</f>
        <v>10</v>
      </c>
      <c r="D5" s="110" t="n">
        <f aca="false">B5-C5</f>
        <v>0</v>
      </c>
      <c r="E5" s="110" t="n">
        <v>0.0001</v>
      </c>
      <c r="F5" s="13" t="str">
        <f aca="false">IF(ABS(D5)&lt;=E5,"OK","FAIL")</f>
        <v>OK</v>
      </c>
      <c r="G5" s="13" t="s">
        <v>663</v>
      </c>
    </row>
    <row r="6" customFormat="false" ht="15" hidden="false" customHeight="false" outlineLevel="0" collapsed="false">
      <c r="A6" s="15" t="s">
        <v>664</v>
      </c>
      <c r="B6" s="111" t="n">
        <f aca="false">Assumptions!B25</f>
        <v>45</v>
      </c>
      <c r="C6" s="111" t="n">
        <f aca="false">'Stack Comparison'!C18</f>
        <v>45</v>
      </c>
      <c r="D6" s="111" t="n">
        <f aca="false">B6-C6</f>
        <v>0</v>
      </c>
      <c r="E6" s="111" t="n">
        <v>0.01</v>
      </c>
      <c r="F6" s="15" t="str">
        <f aca="false">IF(ABS(D6)&lt;=E6,"OK","FAIL")</f>
        <v>OK</v>
      </c>
      <c r="G6" s="15" t="s">
        <v>665</v>
      </c>
    </row>
    <row r="7" customFormat="false" ht="15" hidden="false" customHeight="false" outlineLevel="0" collapsed="false">
      <c r="A7" s="15" t="s">
        <v>666</v>
      </c>
      <c r="B7" s="111" t="n">
        <f aca="false">Assumptions!B26</f>
        <v>71</v>
      </c>
      <c r="C7" s="111" t="n">
        <f aca="false">'Stack Comparison'!D18</f>
        <v>71</v>
      </c>
      <c r="D7" s="111" t="n">
        <f aca="false">B7-C7</f>
        <v>0</v>
      </c>
      <c r="E7" s="111" t="n">
        <v>0.01</v>
      </c>
      <c r="F7" s="15" t="str">
        <f aca="false">IF(ABS(D7)&lt;=E7,"OK","FAIL")</f>
        <v>OK</v>
      </c>
      <c r="G7" s="15" t="s">
        <v>667</v>
      </c>
    </row>
    <row r="8" customFormat="false" ht="15" hidden="false" customHeight="false" outlineLevel="0" collapsed="false">
      <c r="A8" s="15" t="s">
        <v>668</v>
      </c>
      <c r="B8" s="111" t="n">
        <f aca="false">'Unit Economics'!B11</f>
        <v>9.2875</v>
      </c>
      <c r="C8" s="111" t="n">
        <f aca="false">Assumptions!B13-'Unit Economics'!B8-'Unit Economics'!B10</f>
        <v>9.2875</v>
      </c>
      <c r="D8" s="111" t="n">
        <f aca="false">B8-C8</f>
        <v>0</v>
      </c>
      <c r="E8" s="111" t="n">
        <v>0.0001</v>
      </c>
      <c r="F8" s="15" t="str">
        <f aca="false">IF(ABS(D8)&lt;=E8,"OK","FAIL")</f>
        <v>OK</v>
      </c>
      <c r="G8" s="15" t="s">
        <v>669</v>
      </c>
    </row>
    <row r="9" customFormat="false" ht="15" hidden="false" customHeight="false" outlineLevel="0" collapsed="false">
      <c r="A9" s="15" t="s">
        <v>670</v>
      </c>
      <c r="B9" s="111" t="n">
        <f aca="false">'Unit Economics'!B15</f>
        <v>55.725</v>
      </c>
      <c r="C9" s="111" t="n">
        <f aca="false">'Unit Economics'!B11*Assumptions!B11</f>
        <v>55.725</v>
      </c>
      <c r="D9" s="111" t="n">
        <f aca="false">B9-C9</f>
        <v>0</v>
      </c>
      <c r="E9" s="111" t="n">
        <v>0.01</v>
      </c>
      <c r="F9" s="15" t="str">
        <f aca="false">IF(ABS(D9)&lt;=E9,"OK","FAIL")</f>
        <v>OK</v>
      </c>
      <c r="G9" s="15" t="s">
        <v>671</v>
      </c>
    </row>
    <row r="10" customFormat="false" ht="15" hidden="false" customHeight="false" outlineLevel="0" collapsed="false">
      <c r="A10" s="15" t="s">
        <v>672</v>
      </c>
      <c r="B10" s="111" t="n">
        <f aca="false">'Unit Economics'!B16</f>
        <v>18.575</v>
      </c>
      <c r="C10" s="111" t="n">
        <f aca="false">'Unit Economics'!B15/3</f>
        <v>18.575</v>
      </c>
      <c r="D10" s="111" t="n">
        <f aca="false">B10-C10</f>
        <v>0</v>
      </c>
      <c r="E10" s="111" t="n">
        <v>0.01</v>
      </c>
      <c r="F10" s="15" t="str">
        <f aca="false">IF(ABS(D10)&lt;=E10,"OK","FAIL")</f>
        <v>OK</v>
      </c>
      <c r="G10" s="15" t="s">
        <v>673</v>
      </c>
    </row>
    <row r="11" customFormat="false" ht="15" hidden="false" customHeight="false" outlineLevel="0" collapsed="false">
      <c r="A11" s="15" t="s">
        <v>674</v>
      </c>
      <c r="B11" s="111" t="n">
        <f aca="false">'Forecast 12M'!H18</f>
        <v>60</v>
      </c>
      <c r="C11" s="111" t="n">
        <f aca="false">Assumptions!B10*Assumptions!B11</f>
        <v>60</v>
      </c>
      <c r="D11" s="111" t="n">
        <f aca="false">B11-C11</f>
        <v>0</v>
      </c>
      <c r="E11" s="111" t="n">
        <v>0</v>
      </c>
      <c r="F11" s="15" t="str">
        <f aca="false">IF(ABS(D11)&lt;=E11,"OK","FAIL")</f>
        <v>OK</v>
      </c>
      <c r="G11" s="15" t="s">
        <v>675</v>
      </c>
    </row>
    <row r="12" customFormat="false" ht="15" hidden="false" customHeight="false" outlineLevel="0" collapsed="false">
      <c r="A12" s="15" t="s">
        <v>676</v>
      </c>
      <c r="B12" s="111" t="n">
        <f aca="false">'Forecast 12M'!B18</f>
        <v>0</v>
      </c>
      <c r="C12" s="111" t="n">
        <v>0</v>
      </c>
      <c r="D12" s="111" t="n">
        <f aca="false">B12-C12</f>
        <v>0</v>
      </c>
      <c r="E12" s="111" t="n">
        <v>0</v>
      </c>
      <c r="F12" s="15" t="str">
        <f aca="false">IF(ABS(D12)&lt;=E12,"OK","FAIL")</f>
        <v>OK</v>
      </c>
      <c r="G12" s="15" t="s">
        <v>677</v>
      </c>
    </row>
    <row r="13" customFormat="false" ht="15" hidden="false" customHeight="false" outlineLevel="0" collapsed="false">
      <c r="A13" s="15" t="s">
        <v>678</v>
      </c>
      <c r="B13" s="111" t="n">
        <f aca="false">'Forecast 12M'!B11</f>
        <v>0.800000000000011</v>
      </c>
      <c r="C13" s="111" t="n">
        <v>0.8</v>
      </c>
      <c r="D13" s="111" t="n">
        <f aca="false">B13-C13</f>
        <v>1.13242748511766E-014</v>
      </c>
      <c r="E13" s="111" t="n">
        <v>0.01</v>
      </c>
      <c r="F13" s="15" t="str">
        <f aca="false">IF(ABS(D13)&lt;=E13,"OK","FAIL")</f>
        <v>OK</v>
      </c>
      <c r="G13" s="15" t="s">
        <v>679</v>
      </c>
    </row>
    <row r="14" customFormat="false" ht="15" hidden="false" customHeight="false" outlineLevel="0" collapsed="false">
      <c r="A14" s="17" t="s">
        <v>680</v>
      </c>
      <c r="B14" s="112" t="n">
        <v>85</v>
      </c>
      <c r="C14" s="112" t="n">
        <f aca="false">'Prior Models'!C13</f>
        <v>56.88</v>
      </c>
      <c r="D14" s="112" t="n">
        <f aca="false">B14-C14</f>
        <v>28.12</v>
      </c>
      <c r="E14" s="112" t="n">
        <v>0.01</v>
      </c>
      <c r="F14" s="17" t="str">
        <f aca="false">IF(ABS(D14)&gt;E14,"OK","FAIL")</f>
        <v>OK</v>
      </c>
      <c r="G14" s="17" t="s">
        <v>681</v>
      </c>
    </row>
    <row r="15" customFormat="false" ht="15" hidden="false" customHeight="false" outlineLevel="0" collapsed="false">
      <c r="A15" s="2" t="s">
        <v>682</v>
      </c>
      <c r="B15" s="113" t="n">
        <f aca="false">Assumptions!E41</f>
        <v>9.2875</v>
      </c>
      <c r="C15" s="114" t="n">
        <f aca="false">'Unit Economics'!B11</f>
        <v>9.2875</v>
      </c>
      <c r="D15" s="113" t="n">
        <f aca="false">B15-C15</f>
        <v>0</v>
      </c>
      <c r="E15" s="2" t="n">
        <v>0.0001</v>
      </c>
      <c r="F15" s="2" t="str">
        <f aca="false">IF(ABS(D15)&lt;=E15,"OK","FAIL")</f>
        <v>OK</v>
      </c>
      <c r="G15" s="2" t="s">
        <v>683</v>
      </c>
    </row>
    <row r="16" customFormat="false" ht="15" hidden="false" customHeight="false" outlineLevel="0" collapsed="false">
      <c r="A16" s="2"/>
      <c r="B16" s="2"/>
      <c r="C16" s="2"/>
      <c r="D16" s="2"/>
      <c r="E16" s="2"/>
      <c r="F16" s="2"/>
      <c r="G16" s="2"/>
    </row>
    <row r="17" customFormat="false" ht="21.75" hidden="false" customHeight="true" outlineLevel="0" collapsed="false">
      <c r="A17" s="12" t="s">
        <v>684</v>
      </c>
      <c r="B17" s="12"/>
      <c r="C17" s="12"/>
      <c r="D17" s="12"/>
      <c r="E17" s="12"/>
      <c r="F17" s="12"/>
      <c r="G17" s="12"/>
    </row>
    <row r="18" customFormat="false" ht="48" hidden="false" customHeight="true" outlineLevel="0" collapsed="false">
      <c r="A18" s="115" t="str">
        <f aca="false">IF(COUNTIF(F5:F15,"FAIL")+COUNTIF(F20:F35,"FAIL")=0,"MODEL STATUS: PASS","MODEL STATUS: FAIL")</f>
        <v>MODEL STATUS: PASS</v>
      </c>
      <c r="B18" s="115"/>
      <c r="C18" s="2"/>
      <c r="D18" s="116" t="s">
        <v>685</v>
      </c>
      <c r="E18" s="116"/>
      <c r="F18" s="116"/>
      <c r="G18" s="116"/>
    </row>
    <row r="19" customFormat="false" ht="48" hidden="false" customHeight="true" outlineLevel="0" collapsed="false">
      <c r="A19" s="115"/>
      <c r="B19" s="115"/>
      <c r="C19" s="2"/>
      <c r="D19" s="116"/>
      <c r="E19" s="116"/>
      <c r="F19" s="116"/>
      <c r="G19" s="116"/>
    </row>
    <row r="20" customFormat="false" ht="15" hidden="false" customHeight="false" outlineLevel="0" collapsed="false">
      <c r="A20" s="2" t="s">
        <v>686</v>
      </c>
      <c r="B20" s="113" t="n">
        <f aca="false">'Stack Comparison'!C26</f>
        <v>0.68625</v>
      </c>
      <c r="C20" s="114" t="n">
        <f aca="false">'Unit Economics'!B8+'Unit Economics'!B9</f>
        <v>0.68625</v>
      </c>
      <c r="D20" s="117" t="n">
        <f aca="false">B20-C20</f>
        <v>0</v>
      </c>
      <c r="E20" s="0" t="n">
        <v>0.0001</v>
      </c>
      <c r="F20" s="0" t="str">
        <f aca="false">IF(ABS(D20)&lt;=E20,"OK","FAIL")</f>
        <v>OK</v>
      </c>
      <c r="G20" s="0" t="s">
        <v>687</v>
      </c>
    </row>
    <row r="21" customFormat="false" ht="15" hidden="false" customHeight="false" outlineLevel="0" collapsed="false">
      <c r="A21" s="0" t="s">
        <v>688</v>
      </c>
      <c r="B21" s="117" t="n">
        <f aca="false">'Stack Comparison'!D26</f>
        <v>0.7125</v>
      </c>
      <c r="C21" s="118" t="n">
        <f aca="false">'Unit Economics'!B8+'Unit Economics'!B10</f>
        <v>0.7125</v>
      </c>
      <c r="D21" s="117" t="n">
        <f aca="false">B21-C21</f>
        <v>0</v>
      </c>
      <c r="E21" s="0" t="n">
        <v>0.0001</v>
      </c>
      <c r="F21" s="0" t="str">
        <f aca="false">IF(ABS(D21)&lt;=E21,"OK","FAIL")</f>
        <v>OK</v>
      </c>
      <c r="G21" s="0" t="s">
        <v>689</v>
      </c>
    </row>
    <row r="22" customFormat="false" ht="15" hidden="false" customHeight="false" outlineLevel="0" collapsed="false">
      <c r="A22" s="0" t="s">
        <v>690</v>
      </c>
      <c r="B22" s="119" t="n">
        <f aca="false">'Forecast 12M'!B21</f>
        <v>13.125</v>
      </c>
      <c r="C22" s="118" t="n">
        <f aca="false">Assumptions!B9*'Unit Economics'!B9</f>
        <v>13.125</v>
      </c>
      <c r="D22" s="118" t="n">
        <f aca="false">B22-C22</f>
        <v>0</v>
      </c>
      <c r="E22" s="0" t="n">
        <v>0.0001</v>
      </c>
      <c r="F22" s="0" t="str">
        <f aca="false">IF(ABS(D22)&lt;=E22,"OK","FAIL")</f>
        <v>OK</v>
      </c>
      <c r="G22" s="0" t="s">
        <v>691</v>
      </c>
    </row>
    <row r="23" customFormat="false" ht="15" hidden="false" customHeight="false" outlineLevel="0" collapsed="false">
      <c r="A23" s="0" t="s">
        <v>692</v>
      </c>
      <c r="B23" s="0" t="n">
        <f aca="false">Assumptions!B7</f>
        <v>12</v>
      </c>
      <c r="C23" s="0" t="n">
        <f aca="false">COLUMNS('Forecast 12M'!B3:M3)</f>
        <v>12</v>
      </c>
      <c r="D23" s="0" t="n">
        <f aca="false">B23-C23</f>
        <v>0</v>
      </c>
      <c r="E23" s="0" t="n">
        <v>0</v>
      </c>
      <c r="F23" s="0" t="str">
        <f aca="false">IF(ABS(D23)&lt;=E23,"OK","FAIL")</f>
        <v>OK</v>
      </c>
      <c r="G23" s="0" t="s">
        <v>693</v>
      </c>
    </row>
    <row r="24" customFormat="false" ht="15" hidden="false" customHeight="false" outlineLevel="0" collapsed="false">
      <c r="A24" s="0" t="s">
        <v>694</v>
      </c>
      <c r="B24" s="0" t="n">
        <f aca="false">SUMPRODUCT(ABS('Forecast 12M'!B3:M3-(COLUMN('Forecast 12M'!B3:M3)-1)))</f>
        <v>0</v>
      </c>
      <c r="C24" s="0" t="n">
        <v>0</v>
      </c>
      <c r="D24" s="0" t="n">
        <f aca="false">B24-C24</f>
        <v>0</v>
      </c>
      <c r="E24" s="0" t="n">
        <v>0</v>
      </c>
      <c r="F24" s="0" t="str">
        <f aca="false">IF(ABS(D24)&lt;=E24,"OK","FAIL")</f>
        <v>OK</v>
      </c>
      <c r="G24" s="0" t="s">
        <v>695</v>
      </c>
    </row>
    <row r="25" customFormat="false" ht="15" hidden="false" customHeight="false" outlineLevel="0" collapsed="false">
      <c r="A25" s="0" t="s">
        <v>696</v>
      </c>
      <c r="B25" s="118" t="n">
        <f aca="false">'Price Sensitivity'!B11</f>
        <v>9.2875</v>
      </c>
      <c r="C25" s="118" t="n">
        <f aca="false">'Unit Economics'!B11</f>
        <v>9.2875</v>
      </c>
      <c r="D25" s="118" t="n">
        <f aca="false">B25-C25</f>
        <v>0</v>
      </c>
      <c r="E25" s="0" t="n">
        <v>0.0001</v>
      </c>
      <c r="F25" s="0" t="str">
        <f aca="false">IF(ABS(D25)&lt;=E25,"OK","FAIL")</f>
        <v>OK</v>
      </c>
      <c r="G25" s="0" t="s">
        <v>697</v>
      </c>
    </row>
    <row r="26" customFormat="false" ht="15" hidden="false" customHeight="false" outlineLevel="0" collapsed="false">
      <c r="A26" s="0" t="s">
        <v>698</v>
      </c>
      <c r="B26" s="120" t="n">
        <f aca="false">'Price Sensitivity'!B19</f>
        <v>5</v>
      </c>
      <c r="C26" s="120" t="n">
        <f aca="false">'Unit Economics'!B13</f>
        <v>5</v>
      </c>
      <c r="D26" s="0" t="n">
        <f aca="false">B26-C26</f>
        <v>0</v>
      </c>
      <c r="E26" s="0" t="n">
        <v>0</v>
      </c>
      <c r="F26" s="0" t="str">
        <f aca="false">IF(ABS(D26)&lt;=E26,"OK","FAIL")</f>
        <v>OK</v>
      </c>
      <c r="G26" s="0" t="s">
        <v>699</v>
      </c>
    </row>
    <row r="27" customFormat="false" ht="15" hidden="false" customHeight="false" outlineLevel="0" collapsed="false">
      <c r="A27" s="0" t="s">
        <v>700</v>
      </c>
      <c r="B27" s="0" t="n">
        <f aca="false">SUMPRODUCT(ABS('Price Sensitivity'!B81:M81-'Forecast 12M'!B26:M26))</f>
        <v>0</v>
      </c>
      <c r="C27" s="0" t="n">
        <v>0</v>
      </c>
      <c r="D27" s="0" t="n">
        <f aca="false">B27-C27</f>
        <v>0</v>
      </c>
      <c r="E27" s="0" t="n">
        <v>0.0001</v>
      </c>
      <c r="F27" s="0" t="str">
        <f aca="false">IF(ABS(D27)&lt;=E27,"OK","FAIL")</f>
        <v>OK</v>
      </c>
      <c r="G27" s="0" t="s">
        <v>701</v>
      </c>
    </row>
    <row r="28" customFormat="false" ht="15" hidden="false" customHeight="false" outlineLevel="0" collapsed="false">
      <c r="A28" s="0" t="s">
        <v>702</v>
      </c>
      <c r="B28" s="0" t="n">
        <f aca="false">SUMPRODUCT(ABS('Price Sensitivity'!B83:M83-'Forecast 12M'!B41:M41))</f>
        <v>5.6843418860808E-014</v>
      </c>
      <c r="C28" s="0" t="n">
        <v>0</v>
      </c>
      <c r="D28" s="0" t="n">
        <f aca="false">B28-C28</f>
        <v>5.6843418860808E-014</v>
      </c>
      <c r="E28" s="0" t="n">
        <v>0.0001</v>
      </c>
      <c r="F28" s="0" t="str">
        <f aca="false">IF(ABS(D28)&lt;=E28,"OK","FAIL")</f>
        <v>OK</v>
      </c>
      <c r="G28" s="0" t="s">
        <v>703</v>
      </c>
    </row>
    <row r="29" customFormat="false" ht="15" hidden="false" customHeight="false" outlineLevel="0" collapsed="false">
      <c r="A29" s="0" t="s">
        <v>704</v>
      </c>
      <c r="B29" s="119" t="n">
        <f aca="false">'Price Sensitivity'!B26</f>
        <v>466</v>
      </c>
      <c r="C29" s="119" t="n">
        <f aca="false">'Forecast 12M'!M26</f>
        <v>466</v>
      </c>
      <c r="D29" s="0" t="n">
        <f aca="false">B29-C29</f>
        <v>0</v>
      </c>
      <c r="E29" s="0" t="n">
        <v>0.0001</v>
      </c>
      <c r="F29" s="0" t="str">
        <f aca="false">IF(ABS(D29)&lt;=E29,"OK","FAIL")</f>
        <v>OK</v>
      </c>
      <c r="G29" s="0" t="s">
        <v>705</v>
      </c>
    </row>
    <row r="30" customFormat="false" ht="15" hidden="false" customHeight="false" outlineLevel="0" collapsed="false">
      <c r="A30" s="0" t="s">
        <v>706</v>
      </c>
      <c r="B30" s="0" t="n">
        <f aca="false">IF(""&amp;'Price Sensitivity'!B37=""&amp;IFERROR(MATCH("Yes",'Forecast 12M'!B44:M44,0),"none in 12"),0,1)</f>
        <v>0</v>
      </c>
      <c r="C30" s="0" t="n">
        <v>0</v>
      </c>
      <c r="D30" s="0" t="n">
        <f aca="false">B30-C30</f>
        <v>0</v>
      </c>
      <c r="E30" s="0" t="n">
        <v>0</v>
      </c>
      <c r="F30" s="0" t="str">
        <f aca="false">IF(ABS(D30)&lt;=E30,"OK","FAIL")</f>
        <v>OK</v>
      </c>
      <c r="G30" s="0" t="s">
        <v>707</v>
      </c>
    </row>
    <row r="31" customFormat="false" ht="15" hidden="false" customHeight="false" outlineLevel="0" collapsed="false">
      <c r="A31" s="0" t="s">
        <v>708</v>
      </c>
      <c r="B31" s="119" t="n">
        <f aca="false">'Forecast 12M'!B24</f>
        <v>65</v>
      </c>
      <c r="C31" s="117" t="n">
        <f aca="false">IF(Assumptions!B27="Monitored",Assumptions!B26,Assumptions!B25)+Assumptions!B51</f>
        <v>65</v>
      </c>
      <c r="D31" s="117" t="n">
        <f aca="false">B31-C31</f>
        <v>0</v>
      </c>
      <c r="E31" s="0" t="n">
        <v>0.0001</v>
      </c>
      <c r="F31" s="0" t="str">
        <f aca="false">IF(ABS(D31)&lt;=E31,"OK","FAIL")</f>
        <v>OK</v>
      </c>
      <c r="G31" s="0" t="s">
        <v>709</v>
      </c>
    </row>
    <row r="32" customFormat="false" ht="15" hidden="false" customHeight="false" outlineLevel="0" collapsed="false">
      <c r="A32" s="0" t="s">
        <v>710</v>
      </c>
      <c r="B32" s="119" t="n">
        <f aca="false">'Price Sensitivity'!B70</f>
        <v>37.5</v>
      </c>
      <c r="C32" s="121" t="n">
        <f aca="false">Assumptions!B9*Assumptions!B14*Assumptions!B33*Assumptions!B23/1000000</f>
        <v>37.5</v>
      </c>
      <c r="D32" s="121" t="n">
        <f aca="false">B32-C32</f>
        <v>0</v>
      </c>
      <c r="E32" s="0" t="n">
        <v>0.0001</v>
      </c>
      <c r="F32" s="0" t="str">
        <f aca="false">IF(ABS(D32)&lt;=E32,"OK","FAIL")</f>
        <v>OK</v>
      </c>
      <c r="G32" s="0" t="s">
        <v>711</v>
      </c>
    </row>
    <row r="33" customFormat="false" ht="15" hidden="false" customHeight="false" outlineLevel="0" collapsed="false">
      <c r="A33" s="0" t="s">
        <v>712</v>
      </c>
      <c r="B33" s="0" t="n">
        <f aca="false">SUMPRODUCT(--('Launch Cap Plan'!B21:M21-'Launch Cap Plan'!B17:M17&gt;0.0001))</f>
        <v>0</v>
      </c>
      <c r="C33" s="0" t="n">
        <v>0</v>
      </c>
      <c r="D33" s="0" t="n">
        <f aca="false">B33-C33</f>
        <v>0</v>
      </c>
      <c r="E33" s="0" t="n">
        <v>0</v>
      </c>
      <c r="F33" s="0" t="str">
        <f aca="false">IF(ABS(D33)&lt;=E33,"OK","FAIL")</f>
        <v>OK</v>
      </c>
      <c r="G33" s="0" t="s">
        <v>713</v>
      </c>
    </row>
    <row r="34" customFormat="false" ht="15" hidden="false" customHeight="false" outlineLevel="0" collapsed="false">
      <c r="A34" s="0" t="s">
        <v>714</v>
      </c>
      <c r="B34" s="0" t="n">
        <f aca="false">Assumptions!B12</f>
        <v>1</v>
      </c>
      <c r="C34" s="0" t="n">
        <v>1</v>
      </c>
      <c r="D34" s="0" t="n">
        <f aca="false">B34-C34</f>
        <v>0</v>
      </c>
      <c r="E34" s="0" t="n">
        <v>0</v>
      </c>
      <c r="F34" s="0" t="str">
        <f aca="false">IF(ABS(D34)&lt;=E34,"OK","FAIL")</f>
        <v>OK</v>
      </c>
      <c r="G34" s="0" t="s">
        <v>715</v>
      </c>
    </row>
    <row r="35" customFormat="false" ht="15" hidden="false" customHeight="false" outlineLevel="0" collapsed="false">
      <c r="A35" s="0" t="s">
        <v>716</v>
      </c>
      <c r="B35" s="119" t="n">
        <f aca="false">'Launch Cap Plan'!B25</f>
        <v>-67.625</v>
      </c>
      <c r="C35" s="121" t="n">
        <f aca="false">-('Launch Cap Plan'!B17*'Launch Cap Plan'!B22)-'Launch Cap Plan'!B11</f>
        <v>-67.625</v>
      </c>
      <c r="D35" s="121" t="n">
        <f aca="false">B35-C35</f>
        <v>0</v>
      </c>
      <c r="E35" s="0" t="n">
        <v>0.0001</v>
      </c>
      <c r="F35" s="0" t="str">
        <f aca="false">IF(ABS(D35)&lt;=E35,"OK","FAIL")</f>
        <v>OK</v>
      </c>
      <c r="G35" s="0" t="s">
        <v>717</v>
      </c>
    </row>
  </sheetData>
  <mergeCells count="5">
    <mergeCell ref="A1:G1"/>
    <mergeCell ref="A2:G3"/>
    <mergeCell ref="A17:G17"/>
    <mergeCell ref="A18:B19"/>
    <mergeCell ref="D18:G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3"/>
    <col collapsed="false" customWidth="true" hidden="false" outlineLevel="0" max="2" min="2" style="0" width="17"/>
    <col collapsed="false" customWidth="true" hidden="false" outlineLevel="0" max="3" min="3" style="0" width="22"/>
    <col collapsed="false" customWidth="true" hidden="false" outlineLevel="0" max="4" min="4" style="0" width="15"/>
    <col collapsed="false" customWidth="true" hidden="false" outlineLevel="0" max="5" min="5" style="0" width="23"/>
    <col collapsed="false" customWidth="true" hidden="false" outlineLevel="0" max="6" min="6" style="0" width="18"/>
    <col collapsed="false" customWidth="true" hidden="false" outlineLevel="0" max="7" min="7" style="0" width="68"/>
    <col collapsed="false" customWidth="true" hidden="false" outlineLevel="0" max="8" min="8" style="0" width="48"/>
  </cols>
  <sheetData>
    <row r="1" customFormat="false" ht="33.75" hidden="false" customHeight="true" outlineLevel="0" collapsed="false">
      <c r="A1" s="1" t="s">
        <v>718</v>
      </c>
      <c r="B1" s="1"/>
      <c r="C1" s="1"/>
      <c r="D1" s="1"/>
      <c r="E1" s="1"/>
      <c r="F1" s="1"/>
      <c r="G1" s="1"/>
      <c r="H1" s="1"/>
    </row>
    <row r="2" customFormat="false" ht="31.5" hidden="false" customHeight="true" outlineLevel="0" collapsed="false">
      <c r="A2" s="3" t="s">
        <v>719</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720</v>
      </c>
      <c r="B4" s="4" t="s">
        <v>721</v>
      </c>
      <c r="C4" s="4" t="s">
        <v>197</v>
      </c>
      <c r="D4" s="4" t="s">
        <v>722</v>
      </c>
      <c r="E4" s="4" t="s">
        <v>723</v>
      </c>
      <c r="F4" s="4" t="s">
        <v>241</v>
      </c>
      <c r="G4" s="4" t="s">
        <v>724</v>
      </c>
      <c r="H4" s="4" t="s">
        <v>300</v>
      </c>
    </row>
    <row r="5" customFormat="false" ht="15" hidden="false" customHeight="false" outlineLevel="0" collapsed="false">
      <c r="A5" s="13" t="s">
        <v>725</v>
      </c>
      <c r="B5" s="110" t="n">
        <v>25</v>
      </c>
      <c r="C5" s="13" t="s">
        <v>726</v>
      </c>
      <c r="D5" s="13" t="s">
        <v>727</v>
      </c>
      <c r="E5" s="13" t="s">
        <v>728</v>
      </c>
      <c r="F5" s="13" t="s">
        <v>348</v>
      </c>
      <c r="G5" s="13" t="s">
        <v>351</v>
      </c>
      <c r="H5" s="13" t="s">
        <v>729</v>
      </c>
    </row>
    <row r="6" customFormat="false" ht="15" hidden="false" customHeight="false" outlineLevel="0" collapsed="false">
      <c r="A6" s="15" t="s">
        <v>730</v>
      </c>
      <c r="B6" s="111" t="n">
        <v>20</v>
      </c>
      <c r="C6" s="15" t="s">
        <v>726</v>
      </c>
      <c r="D6" s="15" t="s">
        <v>727</v>
      </c>
      <c r="E6" s="15" t="s">
        <v>728</v>
      </c>
      <c r="F6" s="15" t="s">
        <v>353</v>
      </c>
      <c r="G6" s="15" t="s">
        <v>731</v>
      </c>
      <c r="H6" s="15" t="s">
        <v>732</v>
      </c>
    </row>
    <row r="7" customFormat="false" ht="15" hidden="false" customHeight="false" outlineLevel="0" collapsed="false">
      <c r="A7" s="15" t="s">
        <v>733</v>
      </c>
      <c r="B7" s="111" t="n">
        <v>0.029</v>
      </c>
      <c r="C7" s="15" t="s">
        <v>734</v>
      </c>
      <c r="D7" s="15" t="s">
        <v>727</v>
      </c>
      <c r="E7" s="15" t="s">
        <v>728</v>
      </c>
      <c r="F7" s="15" t="s">
        <v>383</v>
      </c>
      <c r="G7" s="15" t="s">
        <v>735</v>
      </c>
      <c r="H7" s="15" t="s">
        <v>736</v>
      </c>
    </row>
    <row r="8" customFormat="false" ht="15" hidden="false" customHeight="false" outlineLevel="0" collapsed="false">
      <c r="A8" s="15" t="s">
        <v>737</v>
      </c>
      <c r="B8" s="111" t="n">
        <v>0.007</v>
      </c>
      <c r="C8" s="15" t="s">
        <v>738</v>
      </c>
      <c r="D8" s="15" t="s">
        <v>727</v>
      </c>
      <c r="E8" s="15" t="s">
        <v>728</v>
      </c>
      <c r="F8" s="15" t="s">
        <v>383</v>
      </c>
      <c r="G8" s="15" t="s">
        <v>739</v>
      </c>
      <c r="H8" s="15" t="s">
        <v>740</v>
      </c>
    </row>
    <row r="9" customFormat="false" ht="15" hidden="false" customHeight="false" outlineLevel="0" collapsed="false">
      <c r="A9" s="15" t="s">
        <v>363</v>
      </c>
      <c r="B9" s="111" t="n">
        <v>0</v>
      </c>
      <c r="C9" s="15" t="s">
        <v>741</v>
      </c>
      <c r="D9" s="15" t="s">
        <v>727</v>
      </c>
      <c r="E9" s="15" t="s">
        <v>728</v>
      </c>
      <c r="F9" s="15" t="s">
        <v>363</v>
      </c>
      <c r="G9" s="15" t="s">
        <v>366</v>
      </c>
      <c r="H9" s="15" t="s">
        <v>742</v>
      </c>
    </row>
    <row r="10" customFormat="false" ht="15" hidden="false" customHeight="false" outlineLevel="0" collapsed="false">
      <c r="A10" s="15" t="s">
        <v>743</v>
      </c>
      <c r="B10" s="111" t="n">
        <v>0</v>
      </c>
      <c r="C10" s="15" t="s">
        <v>726</v>
      </c>
      <c r="D10" s="15" t="s">
        <v>727</v>
      </c>
      <c r="E10" s="15" t="s">
        <v>728</v>
      </c>
      <c r="F10" s="15" t="s">
        <v>357</v>
      </c>
      <c r="G10" s="15" t="s">
        <v>359</v>
      </c>
      <c r="H10" s="15" t="s">
        <v>744</v>
      </c>
    </row>
    <row r="11" customFormat="false" ht="15" hidden="false" customHeight="false" outlineLevel="0" collapsed="false">
      <c r="A11" s="15" t="s">
        <v>745</v>
      </c>
      <c r="B11" s="111" t="n">
        <v>26</v>
      </c>
      <c r="C11" s="15" t="s">
        <v>726</v>
      </c>
      <c r="D11" s="15" t="s">
        <v>727</v>
      </c>
      <c r="E11" s="15" t="s">
        <v>728</v>
      </c>
      <c r="F11" s="15" t="s">
        <v>357</v>
      </c>
      <c r="G11" s="15" t="s">
        <v>359</v>
      </c>
      <c r="H11" s="15" t="s">
        <v>746</v>
      </c>
    </row>
    <row r="12" customFormat="false" ht="15" hidden="false" customHeight="false" outlineLevel="0" collapsed="false">
      <c r="A12" s="15" t="s">
        <v>747</v>
      </c>
      <c r="B12" s="111" t="n">
        <v>0</v>
      </c>
      <c r="C12" s="15" t="s">
        <v>726</v>
      </c>
      <c r="D12" s="15" t="s">
        <v>727</v>
      </c>
      <c r="E12" s="15" t="s">
        <v>748</v>
      </c>
      <c r="F12" s="15" t="s">
        <v>749</v>
      </c>
      <c r="G12" s="15" t="s">
        <v>750</v>
      </c>
      <c r="H12" s="15" t="s">
        <v>751</v>
      </c>
    </row>
    <row r="13" customFormat="false" ht="15" hidden="false" customHeight="false" outlineLevel="0" collapsed="false">
      <c r="A13" s="15" t="s">
        <v>752</v>
      </c>
      <c r="B13" s="111" t="n">
        <v>20</v>
      </c>
      <c r="C13" s="15" t="s">
        <v>726</v>
      </c>
      <c r="D13" s="15" t="s">
        <v>753</v>
      </c>
      <c r="E13" s="15" t="s">
        <v>728</v>
      </c>
      <c r="F13" s="15" t="s">
        <v>754</v>
      </c>
      <c r="G13" s="15" t="s">
        <v>362</v>
      </c>
      <c r="H13" s="15" t="s">
        <v>755</v>
      </c>
    </row>
    <row r="14" customFormat="false" ht="15" hidden="false" customHeight="false" outlineLevel="0" collapsed="false">
      <c r="A14" s="15" t="s">
        <v>756</v>
      </c>
      <c r="B14" s="111" t="n">
        <v>0</v>
      </c>
      <c r="C14" s="15" t="s">
        <v>757</v>
      </c>
      <c r="D14" s="15" t="s">
        <v>753</v>
      </c>
      <c r="E14" s="15" t="s">
        <v>758</v>
      </c>
      <c r="F14" s="15" t="s">
        <v>759</v>
      </c>
      <c r="G14" s="15" t="s">
        <v>760</v>
      </c>
      <c r="H14" s="15" t="s">
        <v>761</v>
      </c>
    </row>
    <row r="15" customFormat="false" ht="15" hidden="false" customHeight="false" outlineLevel="0" collapsed="false">
      <c r="A15" s="15" t="s">
        <v>762</v>
      </c>
      <c r="B15" s="111" t="n">
        <v>7</v>
      </c>
      <c r="C15" s="15" t="s">
        <v>763</v>
      </c>
      <c r="D15" s="15" t="s">
        <v>753</v>
      </c>
      <c r="E15" s="15" t="s">
        <v>728</v>
      </c>
      <c r="F15" s="15" t="s">
        <v>764</v>
      </c>
      <c r="G15" s="15" t="s">
        <v>765</v>
      </c>
      <c r="H15" s="15" t="s">
        <v>766</v>
      </c>
    </row>
    <row r="16" customFormat="false" ht="15" hidden="false" customHeight="false" outlineLevel="0" collapsed="false">
      <c r="A16" s="15" t="s">
        <v>767</v>
      </c>
      <c r="B16" s="111" t="n">
        <v>0.15</v>
      </c>
      <c r="C16" s="15" t="s">
        <v>768</v>
      </c>
      <c r="D16" s="15" t="s">
        <v>753</v>
      </c>
      <c r="E16" s="15" t="s">
        <v>728</v>
      </c>
      <c r="F16" s="15" t="s">
        <v>370</v>
      </c>
      <c r="G16" s="15" t="s">
        <v>372</v>
      </c>
      <c r="H16" s="15" t="s">
        <v>769</v>
      </c>
    </row>
    <row r="17" customFormat="false" ht="15" hidden="false" customHeight="false" outlineLevel="0" collapsed="false">
      <c r="A17" s="15" t="s">
        <v>414</v>
      </c>
      <c r="B17" s="111" t="n">
        <v>0.5</v>
      </c>
      <c r="C17" s="15" t="s">
        <v>770</v>
      </c>
      <c r="D17" s="15" t="s">
        <v>753</v>
      </c>
      <c r="E17" s="15" t="s">
        <v>728</v>
      </c>
      <c r="F17" s="15" t="s">
        <v>771</v>
      </c>
      <c r="G17" s="15" t="s">
        <v>382</v>
      </c>
      <c r="H17" s="15" t="s">
        <v>772</v>
      </c>
    </row>
    <row r="18" customFormat="false" ht="15" hidden="false" customHeight="false" outlineLevel="0" collapsed="false">
      <c r="A18" s="15" t="s">
        <v>773</v>
      </c>
      <c r="B18" s="111" t="n">
        <v>0.75</v>
      </c>
      <c r="C18" s="15" t="s">
        <v>774</v>
      </c>
      <c r="D18" s="15" t="s">
        <v>727</v>
      </c>
      <c r="E18" s="15" t="s">
        <v>728</v>
      </c>
      <c r="F18" s="15" t="s">
        <v>771</v>
      </c>
      <c r="G18" s="15" t="s">
        <v>382</v>
      </c>
      <c r="H18" s="15" t="s">
        <v>775</v>
      </c>
    </row>
    <row r="19" customFormat="false" ht="15" hidden="false" customHeight="false" outlineLevel="0" collapsed="false">
      <c r="A19" s="15" t="s">
        <v>425</v>
      </c>
      <c r="B19" s="111" t="n">
        <v>0.3</v>
      </c>
      <c r="C19" s="15" t="s">
        <v>770</v>
      </c>
      <c r="D19" s="15" t="s">
        <v>727</v>
      </c>
      <c r="E19" s="15" t="s">
        <v>728</v>
      </c>
      <c r="F19" s="15" t="s">
        <v>771</v>
      </c>
      <c r="G19" s="15" t="s">
        <v>382</v>
      </c>
      <c r="H19" s="15" t="s">
        <v>776</v>
      </c>
    </row>
    <row r="20" customFormat="false" ht="15" hidden="false" customHeight="false" outlineLevel="0" collapsed="false">
      <c r="A20" s="15" t="s">
        <v>777</v>
      </c>
      <c r="B20" s="111"/>
      <c r="C20" s="15" t="s">
        <v>375</v>
      </c>
      <c r="D20" s="15" t="s">
        <v>753</v>
      </c>
      <c r="E20" s="15" t="s">
        <v>778</v>
      </c>
      <c r="F20" s="15" t="s">
        <v>771</v>
      </c>
      <c r="G20" s="15" t="s">
        <v>779</v>
      </c>
      <c r="H20" s="15" t="s">
        <v>780</v>
      </c>
    </row>
    <row r="21" customFormat="false" ht="15" hidden="false" customHeight="false" outlineLevel="0" collapsed="false">
      <c r="A21" s="15" t="s">
        <v>781</v>
      </c>
      <c r="B21" s="111" t="n">
        <v>10</v>
      </c>
      <c r="C21" s="15" t="s">
        <v>782</v>
      </c>
      <c r="D21" s="15" t="s">
        <v>727</v>
      </c>
      <c r="E21" s="15" t="s">
        <v>783</v>
      </c>
      <c r="F21" s="15" t="s">
        <v>784</v>
      </c>
      <c r="G21" s="15" t="s">
        <v>785</v>
      </c>
      <c r="H21" s="15" t="s">
        <v>786</v>
      </c>
    </row>
    <row r="22" customFormat="false" ht="15" hidden="false" customHeight="false" outlineLevel="0" collapsed="false">
      <c r="A22" s="15" t="s">
        <v>787</v>
      </c>
      <c r="B22" s="111"/>
      <c r="C22" s="15" t="s">
        <v>788</v>
      </c>
      <c r="D22" s="15" t="s">
        <v>727</v>
      </c>
      <c r="E22" s="15" t="s">
        <v>789</v>
      </c>
      <c r="F22" s="15" t="s">
        <v>784</v>
      </c>
      <c r="G22" s="15" t="s">
        <v>790</v>
      </c>
      <c r="H22" s="15" t="s">
        <v>791</v>
      </c>
    </row>
    <row r="23" customFormat="false" ht="15" hidden="false" customHeight="false" outlineLevel="0" collapsed="false">
      <c r="A23" s="15" t="s">
        <v>792</v>
      </c>
      <c r="B23" s="111" t="n">
        <v>80.55</v>
      </c>
      <c r="C23" s="15" t="s">
        <v>793</v>
      </c>
      <c r="D23" s="15" t="s">
        <v>727</v>
      </c>
      <c r="E23" s="15" t="s">
        <v>794</v>
      </c>
      <c r="F23" s="15" t="s">
        <v>784</v>
      </c>
      <c r="G23" s="15" t="s">
        <v>795</v>
      </c>
      <c r="H23" s="15" t="s">
        <v>796</v>
      </c>
    </row>
    <row r="24" customFormat="false" ht="15" hidden="false" customHeight="false" outlineLevel="0" collapsed="false">
      <c r="A24" s="15" t="s">
        <v>797</v>
      </c>
      <c r="B24" s="111"/>
      <c r="C24" s="15" t="s">
        <v>798</v>
      </c>
      <c r="D24" s="15" t="s">
        <v>799</v>
      </c>
      <c r="E24" s="15" t="s">
        <v>800</v>
      </c>
      <c r="F24" s="15" t="s">
        <v>784</v>
      </c>
      <c r="G24" s="15" t="s">
        <v>801</v>
      </c>
      <c r="H24" s="15" t="s">
        <v>802</v>
      </c>
    </row>
    <row r="25" customFormat="false" ht="15" hidden="false" customHeight="false" outlineLevel="0" collapsed="false">
      <c r="A25" s="17" t="s">
        <v>803</v>
      </c>
      <c r="B25" s="112"/>
      <c r="C25" s="17" t="s">
        <v>798</v>
      </c>
      <c r="D25" s="17" t="s">
        <v>799</v>
      </c>
      <c r="E25" s="17" t="s">
        <v>800</v>
      </c>
      <c r="F25" s="17" t="s">
        <v>784</v>
      </c>
      <c r="G25" s="17" t="s">
        <v>804</v>
      </c>
      <c r="H25" s="17" t="s">
        <v>805</v>
      </c>
    </row>
    <row r="26" customFormat="false" ht="15" hidden="false" customHeight="false" outlineLevel="0" collapsed="false">
      <c r="A26" s="17" t="s">
        <v>806</v>
      </c>
      <c r="B26" s="112" t="n">
        <v>0.75</v>
      </c>
      <c r="C26" s="17" t="s">
        <v>774</v>
      </c>
      <c r="D26" s="17" t="s">
        <v>727</v>
      </c>
      <c r="E26" s="17" t="s">
        <v>728</v>
      </c>
      <c r="F26" s="17" t="s">
        <v>771</v>
      </c>
      <c r="G26" s="17" t="s">
        <v>382</v>
      </c>
      <c r="H26" s="17" t="s">
        <v>807</v>
      </c>
    </row>
    <row r="27" customFormat="false" ht="15" hidden="false" customHeight="false" outlineLevel="0" collapsed="false">
      <c r="A27" s="17" t="s">
        <v>808</v>
      </c>
      <c r="B27" s="112" t="s">
        <v>809</v>
      </c>
      <c r="C27" s="17" t="s">
        <v>810</v>
      </c>
      <c r="D27" s="17" t="s">
        <v>727</v>
      </c>
      <c r="E27" s="17" t="s">
        <v>778</v>
      </c>
      <c r="F27" s="17" t="s">
        <v>771</v>
      </c>
      <c r="G27" s="17" t="s">
        <v>811</v>
      </c>
      <c r="H27" s="17" t="s">
        <v>812</v>
      </c>
    </row>
    <row r="28" customFormat="false" ht="15" hidden="false" customHeight="false" outlineLevel="0" collapsed="false">
      <c r="A28" s="17" t="s">
        <v>813</v>
      </c>
      <c r="B28" s="112" t="n">
        <v>10</v>
      </c>
      <c r="C28" s="17" t="s">
        <v>814</v>
      </c>
      <c r="D28" s="17" t="s">
        <v>727</v>
      </c>
      <c r="E28" s="17" t="s">
        <v>789</v>
      </c>
      <c r="F28" s="17" t="s">
        <v>784</v>
      </c>
      <c r="G28" s="17" t="s">
        <v>790</v>
      </c>
      <c r="H28" s="17" t="s">
        <v>815</v>
      </c>
    </row>
    <row r="29" customFormat="false" ht="15" hidden="false" customHeight="false" outlineLevel="0" collapsed="false">
      <c r="A29" s="17" t="s">
        <v>816</v>
      </c>
      <c r="B29" s="112" t="s">
        <v>817</v>
      </c>
      <c r="C29" s="17" t="s">
        <v>375</v>
      </c>
      <c r="D29" s="17" t="s">
        <v>727</v>
      </c>
      <c r="E29" s="17" t="s">
        <v>818</v>
      </c>
      <c r="F29" s="17" t="s">
        <v>784</v>
      </c>
      <c r="G29" s="17" t="s">
        <v>819</v>
      </c>
      <c r="H29" s="17" t="s">
        <v>820</v>
      </c>
    </row>
  </sheetData>
  <mergeCells count="2">
    <mergeCell ref="A1:H1"/>
    <mergeCell ref="A2:H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2026-10-12T20:36:58Z</dcterms:created>
  <dc:creator>openpyxl</dc:creator>
  <dc:description/>
  <dc:language>en-US</dc:language>
  <cp:lastModifiedBy/>
  <dcterms:modified xsi:type="dcterms:W3CDTF">2026-10-12T16:37:01Z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