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Stack Comparison" sheetId="3" state="visible" r:id="rId5"/>
    <sheet name="Gemini Options" sheetId="4" state="visible" r:id="rId6"/>
    <sheet name="Prior Models" sheetId="5" state="visible" r:id="rId7"/>
    <sheet name="Forecast 12M" sheetId="6" state="visible" r:id="rId8"/>
    <sheet name="Unit Economics" sheetId="7" state="visible" r:id="rId9"/>
    <sheet name="Price Sensitivity" sheetId="8" state="visible" r:id="rId10"/>
    <sheet name="Checks" sheetId="9" state="visible" r:id="rId11"/>
    <sheet name="Sources" sheetId="10" state="visible" r:id="rId12"/>
  </sheets>
  <calcPr iterateCount="100" refMode="A1" iterate="false" iterateDelta="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Assumption preserved from every prior model: 2% of new trial users become paid users.</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CAC ceiling uses a 3:1 contribution-LTV-to-CAC ratio and the higher published 2027 Gemini 3.6 Flash price.</t>
        </r>
      </text>
    </comment>
  </commentList>
</comments>
</file>

<file path=xl/sharedStrings.xml><?xml version="1.0" encoding="utf-8"?>
<sst xmlns="http://schemas.openxmlformats.org/spreadsheetml/2006/main" count="860" uniqueCount="580">
  <si>
    <t xml:space="preserve">SpeakSharp — updated financial model</t>
  </si>
  <si>
    <t xml:space="preserve">Forecast version 2026-10-12 · Unvalidated planning case: current private STT, $10/month after 30-day trial · $7 and $5 alternatives on Price Sensitivity</t>
  </si>
  <si>
    <t xml:space="preserve">Period</t>
  </si>
  <si>
    <t xml:space="preserve">Historical</t>
  </si>
  <si>
    <t xml:space="preserve">Current organic</t>
  </si>
  <si>
    <t xml:space="preserve">Current paid CAC</t>
  </si>
  <si>
    <t xml:space="preserve">Planning conclusion: under the stated assumptions, the lean stack lowers fixed cost. Trial conversion, lifetime, usage, CAC and revenue remain unmeasured hypotheses; use this workbook for sensitivity planning, not release or investment proof.</t>
  </si>
  <si>
    <t xml:space="preserve">Lean fixed OpEx</t>
  </si>
  <si>
    <t xml:space="preserve">Contribution / paid user</t>
  </si>
  <si>
    <t xml:space="preserve">Break-even paid users</t>
  </si>
  <si>
    <t xml:space="preserve">3:1 CAC ceiling</t>
  </si>
  <si>
    <t xml:space="preserve">Old versus current — what changed</t>
  </si>
  <si>
    <t xml:space="preserve">Metric</t>
  </si>
  <si>
    <t xml:space="preserve">Feb 23 model</t>
  </si>
  <si>
    <t xml:space="preserve">Current lean</t>
  </si>
  <si>
    <t xml:space="preserve">Current monitored</t>
  </si>
  <si>
    <t xml:space="preserve">Delta vs Feb 23</t>
  </si>
  <si>
    <t xml:space="preserve">Still holds?</t>
  </si>
  <si>
    <t xml:space="preserve">Why</t>
  </si>
  <si>
    <t xml:space="preserve">Management action</t>
  </si>
  <si>
    <t xml:space="preserve">Monthly price</t>
  </si>
  <si>
    <t xml:space="preserve">Changed</t>
  </si>
  <si>
    <t xml:space="preserve">Current posture is $10 after trial</t>
  </si>
  <si>
    <t xml:space="preserve">Validate willingness to pay after product truth fixes</t>
  </si>
  <si>
    <t xml:space="preserve">Fixed software OpEx</t>
  </si>
  <si>
    <t xml:space="preserve">Improved</t>
  </si>
  <si>
    <t xml:space="preserve">Lean stack is materially smaller</t>
  </si>
  <si>
    <t xml:space="preserve">Hold lean until monitoring volume requires Team</t>
  </si>
  <si>
    <t xml:space="preserve">Variable cost / paid user</t>
  </si>
  <si>
    <t xml:space="preserve">AssemblyAI removed; private STT is on-device</t>
  </si>
  <si>
    <t xml:space="preserve">Watch model egress, not cloud STT hours</t>
  </si>
  <si>
    <t xml:space="preserve">Mostly holds</t>
  </si>
  <si>
    <t xml:space="preserve">Lower price offset by lower variable cost</t>
  </si>
  <si>
    <t xml:space="preserve">Use $9.29 for planning</t>
  </si>
  <si>
    <t xml:space="preserve">6-month contribution LTV</t>
  </si>
  <si>
    <t xml:space="preserve">Corrected</t>
  </si>
  <si>
    <t xml:space="preserve">Prior $85 claim did not tie</t>
  </si>
  <si>
    <t xml:space="preserve">Use formula-based LTV only</t>
  </si>
  <si>
    <t xml:space="preserve">Corrected LTV implies about $19, not $28</t>
  </si>
  <si>
    <t xml:space="preserve">Do not buy growth above model ceiling</t>
  </si>
  <si>
    <t xml:space="preserve">Break-even active paid users</t>
  </si>
  <si>
    <t xml:space="preserve">Lower fixed OpEx</t>
  </si>
  <si>
    <t xml:space="preserve">Lean target is five active paid users</t>
  </si>
  <si>
    <t xml:space="preserve">Profitability timing under the preserved ramp</t>
  </si>
  <si>
    <t xml:space="preserve">Scenario</t>
  </si>
  <si>
    <t xml:space="preserve">First monthly profit</t>
  </si>
  <si>
    <t xml:space="preserve">Cumulative cash ≥ $0</t>
  </si>
  <si>
    <t xml:space="preserve">What is included</t>
  </si>
  <si>
    <t xml:space="preserve">Targets to chase
• 500 new trials per month
• ≥2% trial-to-paid conversion
• ≥6-month paid lifetime
• CAC ≤ $18.58
• Lean stack until monitoring justifies the upgrade</t>
  </si>
  <si>
    <t xml:space="preserve">Historical Feb 23</t>
  </si>
  <si>
    <t xml:space="preserve">Month 1</t>
  </si>
  <si>
    <t xml:space="preserve">No trial delay; no acquisition spend</t>
  </si>
  <si>
    <t xml:space="preserve">30-day trial; trial + paid coaching cost; lean stack; no paid CAC</t>
  </si>
  <si>
    <t xml:space="preserve">Current paid acquisition</t>
  </si>
  <si>
    <t xml:space="preserve">30-day trial; trial + paid coaching cost; lean stack; spend at 3:1 CAC ceiling</t>
  </si>
  <si>
    <t xml:space="preserve">Forecast scope: subscription revenue, Stripe fees, Gemini usage, software subscriptions and modeled customer acquisition. Excluded: taxes, refunds/chargebacks, payroll/founder compensation, legal/accounting, domain costs, one-time launch work, and usage overages beyond vendor allowances. Billing is not live today, so all revenue is projected.</t>
  </si>
  <si>
    <t xml:space="preserve">SpeakSharp financial model — assumptions</t>
  </si>
  <si>
    <t xml:space="preserve">Yellow cells are editable assumptions. Blue cells are formulas. Forecast, not a promise; taxes, founder compensation and one-time legal/accounting costs are excluded.</t>
  </si>
  <si>
    <t xml:space="preserve">Current operating model</t>
  </si>
  <si>
    <t xml:space="preserve">Driver</t>
  </si>
  <si>
    <t xml:space="preserve">Value</t>
  </si>
  <si>
    <t xml:space="preserve">Units</t>
  </si>
  <si>
    <t xml:space="preserve">Type</t>
  </si>
  <si>
    <t xml:space="preserve">Source / rationale</t>
  </si>
  <si>
    <t xml:space="preserve">Owner note</t>
  </si>
  <si>
    <t xml:space="preserve">Forecast start</t>
  </si>
  <si>
    <t xml:space="preserve">month</t>
  </si>
  <si>
    <t xml:space="preserve">Input</t>
  </si>
  <si>
    <t xml:space="preserve">Current planning date</t>
  </si>
  <si>
    <t xml:space="preserve">Change to refresh timeline</t>
  </si>
  <si>
    <t xml:space="preserve">Forecast horizon</t>
  </si>
  <si>
    <t xml:space="preserve">months</t>
  </si>
  <si>
    <t xml:space="preserve">Formula</t>
  </si>
  <si>
    <t xml:space="preserve">Count of forecast month columns</t>
  </si>
  <si>
    <t xml:space="preserve">Fixed layout; extend Forecast 12M and this formula together</t>
  </si>
  <si>
    <t xml:space="preserve">Trial-to-paid conversion</t>
  </si>
  <si>
    <t xml:space="preserve">%</t>
  </si>
  <si>
    <t xml:space="preserve">Preserved from prior models</t>
  </si>
  <si>
    <t xml:space="preserve">Target to validate</t>
  </si>
  <si>
    <t xml:space="preserve">New trial users / month</t>
  </si>
  <si>
    <t xml:space="preserve">users</t>
  </si>
  <si>
    <t xml:space="preserve">Implies 10 new paid/month at 2%</t>
  </si>
  <si>
    <t xml:space="preserve">Same ramp as prior</t>
  </si>
  <si>
    <t xml:space="preserve">New paid users / month</t>
  </si>
  <si>
    <t xml:space="preserve">Conversion × new trials</t>
  </si>
  <si>
    <t xml:space="preserve">Derived</t>
  </si>
  <si>
    <t xml:space="preserve">Paid lifetime</t>
  </si>
  <si>
    <t xml:space="preserve">Cohort expires after month 6</t>
  </si>
  <si>
    <t xml:space="preserve">Free trial delay</t>
  </si>
  <si>
    <t xml:space="preserve">Current product: 30-day complete trial</t>
  </si>
  <si>
    <t xml:space="preserve">Creates one-month cash delay</t>
  </si>
  <si>
    <t xml:space="preserve">USD / paid user</t>
  </si>
  <si>
    <t xml:space="preserve">Current product posture</t>
  </si>
  <si>
    <t xml:space="preserve">Billing not yet activated</t>
  </si>
  <si>
    <t xml:space="preserve">AI generations / active trial or paid user / month</t>
  </si>
  <si>
    <t xml:space="preserve">calls</t>
  </si>
  <si>
    <t xml:space="preserve">Editable usage assumption</t>
  </si>
  <si>
    <t xml:space="preserve">Editable planning assumption; trial and paid capabilities are equal</t>
  </si>
  <si>
    <t xml:space="preserve">Input tokens / AI call</t>
  </si>
  <si>
    <t xml:space="preserve">tokens</t>
  </si>
  <si>
    <t xml:space="preserve">Approx. 8,000-char transcript plus prompt</t>
  </si>
  <si>
    <t xml:space="preserve">Editable</t>
  </si>
  <si>
    <t xml:space="preserve">Output tokens / AI call</t>
  </si>
  <si>
    <t xml:space="preserve">Two concise phrases in each coaching section</t>
  </si>
  <si>
    <t xml:space="preserve">Excludes Gemini thinking tokens (unmeasured; see B33)</t>
  </si>
  <si>
    <t xml:space="preserve">Stripe Payments rate</t>
  </si>
  <si>
    <t xml:space="preserve">% of charge</t>
  </si>
  <si>
    <t xml:space="preserve">Source</t>
  </si>
  <si>
    <t xml:space="preserve">Stripe standard domestic card price</t>
  </si>
  <si>
    <t xml:space="preserve">Excludes international/add-ons</t>
  </si>
  <si>
    <t xml:space="preserve">Stripe fixed fee</t>
  </si>
  <si>
    <t xml:space="preserve">USD / charge</t>
  </si>
  <si>
    <t xml:space="preserve">One monthly charge</t>
  </si>
  <si>
    <t xml:space="preserve">Stripe Billing rate</t>
  </si>
  <si>
    <t xml:space="preserve">% of billing volume</t>
  </si>
  <si>
    <t xml:space="preserve">Stripe Billing pay-as-you-go</t>
  </si>
  <si>
    <t xml:space="preserve">Gemini 3.8 Flash input — through 2026</t>
  </si>
  <si>
    <t xml:space="preserve">USD / 1M tokens</t>
  </si>
  <si>
    <t xml:space="preserve">Current code model gemini-3.8-flash (#1586); same published price as 3.6 Flash</t>
  </si>
  <si>
    <t xml:space="preserve">Gemini 3.8 Flash output — through 2026</t>
  </si>
  <si>
    <t xml:space="preserve">Official pricing; output price includes thinking tokens</t>
  </si>
  <si>
    <t xml:space="preserve">Gemini 3.8 Flash input — 2027 onward</t>
  </si>
  <si>
    <t xml:space="preserve">Published 2027 price (from 2027-01-01)</t>
  </si>
  <si>
    <t xml:space="preserve">Gemini 3.8 Flash output — 2027 onward</t>
  </si>
  <si>
    <t xml:space="preserve">Published 2027 price; includes thinking tokens</t>
  </si>
  <si>
    <t xml:space="preserve">Gemini price step date</t>
  </si>
  <si>
    <t xml:space="preserve">date</t>
  </si>
  <si>
    <t xml:space="preserve">Official pricing schedule</t>
  </si>
  <si>
    <t xml:space="preserve">Lean fixed software stack</t>
  </si>
  <si>
    <t xml:space="preserve">USD / month</t>
  </si>
  <si>
    <t xml:space="preserve">Supabase Pro $25 + Vercel Pro $20</t>
  </si>
  <si>
    <t xml:space="preserve">Gmail, PostHog, Sentry Developer, GitHub = $0 incremental</t>
  </si>
  <si>
    <t xml:space="preserve">Monitored fixed software stack</t>
  </si>
  <si>
    <t xml:space="preserve">Lean + Sentry Team $26</t>
  </si>
  <si>
    <t xml:space="preserve">Optional operating posture</t>
  </si>
  <si>
    <t xml:space="preserve">Selected fixed-cost posture</t>
  </si>
  <si>
    <t xml:space="preserve">Lean</t>
  </si>
  <si>
    <t xml:space="preserve">Lean / Monitored</t>
  </si>
  <si>
    <t xml:space="preserve">Base case</t>
  </si>
  <si>
    <t xml:space="preserve">Use dropdown</t>
  </si>
  <si>
    <t xml:space="preserve">Selected fixed OpEx</t>
  </si>
  <si>
    <t xml:space="preserve">Selected posture</t>
  </si>
  <si>
    <t xml:space="preserve">Paid-acquisition scenario</t>
  </si>
  <si>
    <t xml:space="preserve">scenario</t>
  </si>
  <si>
    <t xml:space="preserve">Marketing target scenario</t>
  </si>
  <si>
    <t xml:space="preserve">Organic scenario remains separate</t>
  </si>
  <si>
    <t xml:space="preserve">CAC ceiling</t>
  </si>
  <si>
    <t xml:space="preserve">USD / new paid user</t>
  </si>
  <si>
    <t xml:space="preserve">Six-month contribution LTV ÷ 3</t>
  </si>
  <si>
    <t xml:space="preserve">Conservative 2027 Gemini price</t>
  </si>
  <si>
    <t xml:space="preserve">Starting cash</t>
  </si>
  <si>
    <t xml:space="preserve">USD</t>
  </si>
  <si>
    <t xml:space="preserve">Incremental model starts at zero</t>
  </si>
  <si>
    <t xml:space="preserve">Add cash balance if using as runway model</t>
  </si>
  <si>
    <t xml:space="preserve">Uncached coaching cap / user / UTC day</t>
  </si>
  <si>
    <t xml:space="preserve">contract.json uncachedGenerationCapPerUtcDay</t>
  </si>
  <si>
    <t xml:space="preserve">Bounds heavy-user exposure</t>
  </si>
  <si>
    <t xml:space="preserve">Thinking tokens / AI call (sensitivity)</t>
  </si>
  <si>
    <t xml:space="preserve">Unmeasured: thinking_level unset (default medium); token usage not logged</t>
  </si>
  <si>
    <t xml:space="preserve">Illustrative; replace with measured thoughtsTokenCount</t>
  </si>
  <si>
    <t xml:space="preserve">Historical assumptions preserved for like-for-like comparison</t>
  </si>
  <si>
    <t xml:space="preserve">Feb 1 original</t>
  </si>
  <si>
    <t xml:space="preserve">Feb 23 revised</t>
  </si>
  <si>
    <t xml:space="preserve">Archive lean</t>
  </si>
  <si>
    <t xml:space="preserve">Current</t>
  </si>
  <si>
    <t xml:space="preserve">Notes</t>
  </si>
  <si>
    <t xml:space="preserve">Current price is $10 after trial</t>
  </si>
  <si>
    <t xml:space="preserve">Conversion</t>
  </si>
  <si>
    <t xml:space="preserve">Held constant</t>
  </si>
  <si>
    <t xml:space="preserve">Current begins after one-month trial</t>
  </si>
  <si>
    <t xml:space="preserve">Paid lifetime (months)</t>
  </si>
  <si>
    <t xml:space="preserve">Lean current posture</t>
  </si>
  <si>
    <t xml:space="preserve">Revenue less variable cost</t>
  </si>
  <si>
    <t xml:space="preserve">Software stack — historical versus current</t>
  </si>
  <si>
    <t xml:space="preserve">Like-for-like monthly costs; official prices re-checked 2026-10-12 with no list-price change since 2026-09-05. Historical Resend remains shown; current/project email uses existing Gmail at $0 incremental. Google Workspace is an optional $7/month alternative, not in the base case.</t>
  </si>
  <si>
    <t xml:space="preserve">Current base posture: private/on-device STT; no AssemblyAI and no browser-native STT. Gemini is used only for user-requested coaching. Vendor usage overages are excluded until actual volumes exceed included allowances.</t>
  </si>
  <si>
    <t xml:space="preserve">Posture</t>
  </si>
  <si>
    <t xml:space="preserve">Fixed monthly OpEx</t>
  </si>
  <si>
    <t xml:space="preserve">Service / function</t>
  </si>
  <si>
    <t xml:space="preserve">Billing basis</t>
  </si>
  <si>
    <t xml:space="preserve">Current posture</t>
  </si>
  <si>
    <t xml:space="preserve">Official source</t>
  </si>
  <si>
    <t xml:space="preserve">Savings vs historical</t>
  </si>
  <si>
    <t xml:space="preserve">Supabase</t>
  </si>
  <si>
    <t xml:space="preserve">Monthly</t>
  </si>
  <si>
    <t xml:space="preserve">Pro; one Micro project covered by compute credit</t>
  </si>
  <si>
    <t xml:space="preserve">https://supabase.com/pricing</t>
  </si>
  <si>
    <t xml:space="preserve">Optional Gmail Workspace</t>
  </si>
  <si>
    <t xml:space="preserve">Vercel</t>
  </si>
  <si>
    <t xml:space="preserve">Pro $20 platform fee incl. $20 usage credit; Flat Rate CDN 1M requests / 1 TB</t>
  </si>
  <si>
    <t xml:space="preserve">https://vercel.com/pricing</t>
  </si>
  <si>
    <t xml:space="preserve">Total with Workspace</t>
  </si>
  <si>
    <t xml:space="preserve">Sentry</t>
  </si>
  <si>
    <t xml:space="preserve">Developer in lean; Team $26/mo billed annually</t>
  </si>
  <si>
    <t xml:space="preserve">https://sentry.io/pricing/</t>
  </si>
  <si>
    <t xml:space="preserve">Email</t>
  </si>
  <si>
    <t xml:space="preserve">Historical Resend; current existing Gmail</t>
  </si>
  <si>
    <t xml:space="preserve">https://resend.com/pricing</t>
  </si>
  <si>
    <t xml:space="preserve">PostHog</t>
  </si>
  <si>
    <t xml:space="preserve">Usage</t>
  </si>
  <si>
    <t xml:space="preserve">Free tier until limits are exceeded</t>
  </si>
  <si>
    <t xml:space="preserve">https://posthog.com/pricing</t>
  </si>
  <si>
    <t xml:space="preserve">GitHub / Actions</t>
  </si>
  <si>
    <t xml:space="preserve">Public repository; standard public Actions minutes</t>
  </si>
  <si>
    <t xml:space="preserve">https://github.com/pricing</t>
  </si>
  <si>
    <t xml:space="preserve">AssemblyAI</t>
  </si>
  <si>
    <t xml:space="preserve">Not in current customer path</t>
  </si>
  <si>
    <t xml:space="preserve">https://www.assemblyai.com/pricing</t>
  </si>
  <si>
    <t xml:space="preserve">Browser-native STT</t>
  </si>
  <si>
    <t xml:space="preserve">Not used</t>
  </si>
  <si>
    <t xml:space="preserve">n/a</t>
  </si>
  <si>
    <t xml:space="preserve">Private STT model</t>
  </si>
  <si>
    <t xml:space="preserve">Included hosting</t>
  </si>
  <si>
    <t xml:space="preserve">~80.55 MB model served by current hosting</t>
  </si>
  <si>
    <t xml:space="preserve">Local bundle: frontend/public/models/whisper-base.en</t>
  </si>
  <si>
    <t xml:space="preserve">Gemini coaching</t>
  </si>
  <si>
    <t xml:space="preserve">Per token (gemini-3.8-flash); modeled in variable costs</t>
  </si>
  <si>
    <t xml:space="preserve">https://ai.google.dev/gemini-api/docs/pricing</t>
  </si>
  <si>
    <t xml:space="preserve">Stripe</t>
  </si>
  <si>
    <t xml:space="preserve">Per successful monthly charge</t>
  </si>
  <si>
    <t xml:space="preserve">https://stripe.com/us/pricing</t>
  </si>
  <si>
    <t xml:space="preserve">Fixed monthly total</t>
  </si>
  <si>
    <t xml:space="preserve">Variable-cost comparison per paid user / month</t>
  </si>
  <si>
    <t xml:space="preserve">Variable item</t>
  </si>
  <si>
    <t xml:space="preserve">Current 2026</t>
  </si>
  <si>
    <t xml:space="preserve">Current 2027</t>
  </si>
  <si>
    <t xml:space="preserve">Assumption</t>
  </si>
  <si>
    <t xml:space="preserve">Impact</t>
  </si>
  <si>
    <t xml:space="preserve">Cloud STT</t>
  </si>
  <si>
    <t xml:space="preserve">Old: 10 hr × $0.47; current private STT</t>
  </si>
  <si>
    <t xml:space="preserve">Removed</t>
  </si>
  <si>
    <t xml:space="preserve">Stripe Payments + Billing</t>
  </si>
  <si>
    <t xml:space="preserve">One $10 domestic monthly charge</t>
  </si>
  <si>
    <t xml:space="preserve">Current unavoidable payment cost</t>
  </si>
  <si>
    <t xml:space="preserve">10 calls; 2,500 input + 200 output tokens each</t>
  </si>
  <si>
    <t xml:space="preserve">Very small at modeled use</t>
  </si>
  <si>
    <t xml:space="preserve">Total variable cost</t>
  </si>
  <si>
    <t xml:space="preserve">Sum</t>
  </si>
  <si>
    <t xml:space="preserve">Drives contribution</t>
  </si>
  <si>
    <t xml:space="preserve">Gemini model options and coaching cost</t>
  </si>
  <si>
    <t xml:space="preserve">Current code uses gemini-3.8-flash (#1586, merged 2026-10-11), priced the same as Gemini 3.6 Flash. Gemini 3 Flash Preview is the former code model. Gemini 3.5 Flash-Lite is the lower-cost candidate but requires a real coaching-quality benchmark before switching.</t>
  </si>
  <si>
    <t xml:space="preserve">Model</t>
  </si>
  <si>
    <t xml:space="preserve">Status</t>
  </si>
  <si>
    <t xml:space="preserve">Input $/1M</t>
  </si>
  <si>
    <t xml:space="preserve">Output $/1M</t>
  </si>
  <si>
    <t xml:space="preserve">Cost / call</t>
  </si>
  <si>
    <t xml:space="preserve">Cost / paid user / month</t>
  </si>
  <si>
    <t xml:space="preserve">Relative fit</t>
  </si>
  <si>
    <t xml:space="preserve">Decision</t>
  </si>
  <si>
    <t xml:space="preserve">Gemini 3 Flash Preview</t>
  </si>
  <si>
    <t xml:space="preserve">Former code model</t>
  </si>
  <si>
    <t xml:space="preserve">Replaced in #1586</t>
  </si>
  <si>
    <t xml:space="preserve">Replaced</t>
  </si>
  <si>
    <t xml:space="preserve">Gemini 3.8 Flash — through 2026</t>
  </si>
  <si>
    <t xml:space="preserve">Current code model</t>
  </si>
  <si>
    <t xml:space="preserve">Same published price as 3.6 Flash</t>
  </si>
  <si>
    <t xml:space="preserve">Base forecast</t>
  </si>
  <si>
    <t xml:space="preserve">Gemini 3.8 Flash — 2027 onward</t>
  </si>
  <si>
    <t xml:space="preserve">Same model; published step-up</t>
  </si>
  <si>
    <t xml:space="preserve">Base forecast from Jan</t>
  </si>
  <si>
    <t xml:space="preserve">Gemini 3.5 Flash-Lite</t>
  </si>
  <si>
    <t xml:space="preserve">Current low-cost option</t>
  </si>
  <si>
    <t xml:space="preserve">Cheaper; quality must be proven</t>
  </si>
  <si>
    <t xml:space="preserve">Benchmark candidate</t>
  </si>
  <si>
    <t xml:space="preserve">https://ai.google.dev/gemini-api/docs/models/gemini-3.5-flash-lite</t>
  </si>
  <si>
    <t xml:space="preserve">Cost sensitivity by AI calls per paid user / month</t>
  </si>
  <si>
    <t xml:space="preserve">Calls / month</t>
  </si>
  <si>
    <t xml:space="preserve">Legacy 3 Flash</t>
  </si>
  <si>
    <t xml:space="preserve">3.8 Flash 2026</t>
  </si>
  <si>
    <t xml:space="preserve">3.8 Flash 2027</t>
  </si>
  <si>
    <t xml:space="preserve">3.5 Flash-Lite</t>
  </si>
  <si>
    <t xml:space="preserve">Recommendation: Gemini 3.8 Flash is now the code model and the planning baseline. At modeled usage the 2027 price is about five cents per paid user per month before thinking tokens. Thinking tokens are billed as output and are not yet measured; see Price Sensitivity for the heavy-user threshold.</t>
  </si>
  <si>
    <t xml:space="preserve">Prior model reconstruction and reconciliation</t>
  </si>
  <si>
    <t xml:space="preserve">Historical numbers are preserved as previously stated; recalculated rows expose where a prior conclusion did not tie to its own assumptions.</t>
  </si>
  <si>
    <t xml:space="preserve">Comparison basis</t>
  </si>
  <si>
    <t xml:space="preserve">Conclusion</t>
  </si>
  <si>
    <t xml:space="preserve">Current is lower than Feb 23</t>
  </si>
  <si>
    <t xml:space="preserve">% of new trials</t>
  </si>
  <si>
    <t xml:space="preserve">Same assumption</t>
  </si>
  <si>
    <t xml:space="preserve">Users</t>
  </si>
  <si>
    <t xml:space="preserve">Same ramp; current starts after trial</t>
  </si>
  <si>
    <t xml:space="preserve">Months</t>
  </si>
  <si>
    <t xml:space="preserve">Current lean is $49 below Feb 23</t>
  </si>
  <si>
    <t xml:space="preserve">Private STT removes cloud-STT cost</t>
  </si>
  <si>
    <t xml:space="preserve">Current nearly matches Feb 23 at lower price</t>
  </si>
  <si>
    <t xml:space="preserve">Reported LTV</t>
  </si>
  <si>
    <t xml:space="preserve">Historical stated value</t>
  </si>
  <si>
    <t xml:space="preserve">Recalculated 6-month LTV</t>
  </si>
  <si>
    <t xml:space="preserve">Contribution × 6</t>
  </si>
  <si>
    <t xml:space="preserve">Feb 23 $85 did not reconcile</t>
  </si>
  <si>
    <t xml:space="preserve">Reported CAC target</t>
  </si>
  <si>
    <t xml:space="preserve">Based on reported $85 LTV</t>
  </si>
  <si>
    <t xml:space="preserve">Recalculated 3:1 CAC ceiling</t>
  </si>
  <si>
    <t xml:space="preserve">Use formula-driven value</t>
  </si>
  <si>
    <t xml:space="preserve">Reported break-even paid users</t>
  </si>
  <si>
    <t xml:space="preserve">Archive lean claim was high</t>
  </si>
  <si>
    <t xml:space="preserve">Recalculated break-even paid users</t>
  </si>
  <si>
    <t xml:space="preserve">Fixed OpEx ÷ contribution, rounded up</t>
  </si>
  <si>
    <t xml:space="preserve">What still holds: a lean software stack can break even with a small paid base. What changes: the current private-STT architecture removes the largest old variable cost, and the fixed stack is materially lower. What did not hold: the prior $85 LTV and archive claim of 13 break-even users were not consistent with their own inputs. Current pricing introduces a 30-day delay before the first paid cohort, so cash timing—not unit margin—is the early constraint.</t>
  </si>
  <si>
    <t xml:space="preserve">12-month forecast — same growth ramp, current cash timing</t>
  </si>
  <si>
    <t xml:space="preserve">500 new trials/month × 2% conversion = 10 new paid users/month. Each paid cohort remains for six months. Current plans have a one-month trial delay; historical comparison does not.</t>
  </si>
  <si>
    <t xml:space="preserve">Month #</t>
  </si>
  <si>
    <t xml:space="preserve">Historical Feb 23 comparison — 10 new paid users begin immediately</t>
  </si>
  <si>
    <t xml:space="preserve">Active paid users</t>
  </si>
  <si>
    <t xml:space="preserve">Revenue</t>
  </si>
  <si>
    <t xml:space="preserve">Contribution</t>
  </si>
  <si>
    <t xml:space="preserve">Operating profit</t>
  </si>
  <si>
    <t xml:space="preserve">Cumulative cash</t>
  </si>
  <si>
    <t xml:space="preserve">Current organic base case — one-month trial delay</t>
  </si>
  <si>
    <t xml:space="preserve">New trial users</t>
  </si>
  <si>
    <t xml:space="preserve">New paid starts</t>
  </si>
  <si>
    <t xml:space="preserve">Stripe cost</t>
  </si>
  <si>
    <t xml:space="preserve">Gemini cost (paid + trials)</t>
  </si>
  <si>
    <t xml:space="preserve">Variable cost</t>
  </si>
  <si>
    <t xml:space="preserve">Acquisition spend</t>
  </si>
  <si>
    <t xml:space="preserve">Monthly profitable?</t>
  </si>
  <si>
    <t xml:space="preserve">Cumulative cash non-negative?</t>
  </si>
  <si>
    <t xml:space="preserve">Current paid-acquisition scenario — spend at 3:1 CAC ceiling</t>
  </si>
  <si>
    <t xml:space="preserve">Unit economics, CAC and LTV</t>
  </si>
  <si>
    <t xml:space="preserve">All values are contribution economics, not GAAP profit. The base case uses the higher published 2027 Gemini 3.8 Flash price so the CAC target is conservative. $7 and $5 are on Price Sensitivity.</t>
  </si>
  <si>
    <t xml:space="preserve">Current value</t>
  </si>
  <si>
    <t xml:space="preserve">Plain-English meaning</t>
  </si>
  <si>
    <t xml:space="preserve">Monthly subscription price</t>
  </si>
  <si>
    <t xml:space="preserve">What one paid user pays each month</t>
  </si>
  <si>
    <t xml:space="preserve">Stripe Payments fee</t>
  </si>
  <si>
    <t xml:space="preserve">Card-processing cost on one $10 charge</t>
  </si>
  <si>
    <t xml:space="preserve">Stripe Billing fee</t>
  </si>
  <si>
    <t xml:space="preserve">Subscription-billing cost on one $10 charge</t>
  </si>
  <si>
    <t xml:space="preserve">Stripe total</t>
  </si>
  <si>
    <t xml:space="preserve">Payments plus Billing</t>
  </si>
  <si>
    <t xml:space="preserve">Gemini cost / user — 2026</t>
  </si>
  <si>
    <t xml:space="preserve">Modeled coaching calls at 2026 rate</t>
  </si>
  <si>
    <t xml:space="preserve">Gemini cost / user — 2027</t>
  </si>
  <si>
    <t xml:space="preserve">Modeled coaching calls at published 2027 rate</t>
  </si>
  <si>
    <t xml:space="preserve">Revenue left after variable costs</t>
  </si>
  <si>
    <t xml:space="preserve">Contribution margin</t>
  </si>
  <si>
    <t xml:space="preserve">Contribution divided by price</t>
  </si>
  <si>
    <t xml:space="preserve">Break-even paid users — lean</t>
  </si>
  <si>
    <t xml:space="preserve">Active paid users needed to cover $45 fixed stack</t>
  </si>
  <si>
    <t xml:space="preserve">Break-even paid users — monitored</t>
  </si>
  <si>
    <t xml:space="preserve">Active paid users needed to cover $71 fixed stack</t>
  </si>
  <si>
    <t xml:space="preserve">Six-month contribution LTV</t>
  </si>
  <si>
    <t xml:space="preserve">Contribution earned over assumed paid lifetime</t>
  </si>
  <si>
    <t xml:space="preserve">Maximum acquisition cost at a 3× LTV-to-CAC target</t>
  </si>
  <si>
    <t xml:space="preserve">CAC payback</t>
  </si>
  <si>
    <t xml:space="preserve">Months of contribution needed to repay CAC</t>
  </si>
  <si>
    <t xml:space="preserve">Lifetime and CAC sensitivity</t>
  </si>
  <si>
    <t xml:space="preserve">Contribution LTV</t>
  </si>
  <si>
    <t xml:space="preserve">Interpretation</t>
  </si>
  <si>
    <t xml:space="preserve">Sensitivity only</t>
  </si>
  <si>
    <t xml:space="preserve">Base assumption</t>
  </si>
  <si>
    <t xml:space="preserve">Short definitions</t>
  </si>
  <si>
    <t xml:space="preserve">CAC</t>
  </si>
  <si>
    <t xml:space="preserve">Cost to win one paying customer.</t>
  </si>
  <si>
    <t xml:space="preserve">LTV</t>
  </si>
  <si>
    <t xml:space="preserve">Contribution earned over a customer's paid lifetime.</t>
  </si>
  <si>
    <t xml:space="preserve">Revenue left after variable costs such as Stripe and Gemini.</t>
  </si>
  <si>
    <t xml:space="preserve">Fixed OpEx</t>
  </si>
  <si>
    <t xml:space="preserve">Monthly software cost that does not change with each customer.</t>
  </si>
  <si>
    <t xml:space="preserve">Break-even</t>
  </si>
  <si>
    <t xml:space="preserve">The point where monthly contribution covers fixed OpEx.</t>
  </si>
  <si>
    <t xml:space="preserve">The share of new trial users who become paid.</t>
  </si>
  <si>
    <t xml:space="preserve">MAU</t>
  </si>
  <si>
    <t xml:space="preserve">Monthly active users.</t>
  </si>
  <si>
    <t xml:space="preserve">Price sensitivity — $10 versus $7 and $5</t>
  </si>
  <si>
    <t xml:space="preserve">Same unvalidated ramp and usage as Assumptions (500 trials/month, 2% conversion, 6-month lifetime, 10 coaching calls/user/month). Only price changes; conversion and lifetime are held constant, which is itself an untested assumption. Yellow = editable input; blue = formula; green = key output. Gemini at the published 2027 price unless a row says otherwise.</t>
  </si>
  <si>
    <t xml:space="preserve">Unit economics per paid user</t>
  </si>
  <si>
    <t xml:space="preserve">Alternative</t>
  </si>
  <si>
    <t xml:space="preserve">Stripe share of price</t>
  </si>
  <si>
    <t xml:space="preserve">% of price</t>
  </si>
  <si>
    <t xml:space="preserve">10 calls; no thinking tokens</t>
  </si>
  <si>
    <t xml:space="preserve">Break-even active paid users (rounded up)</t>
  </si>
  <si>
    <t xml:space="preserve">Fixed cost covered</t>
  </si>
  <si>
    <t xml:space="preserve">Fixed USD / month</t>
  </si>
  <si>
    <t xml:space="preserve">Trial coaching cost / month (all trials, 2027)</t>
  </si>
  <si>
    <t xml:space="preserve">Trials cost coaching but pay nothing</t>
  </si>
  <si>
    <t xml:space="preserve">Lean stack only (Unit Economics definition)</t>
  </si>
  <si>
    <t xml:space="preserve">Lean stack + trial coaching</t>
  </si>
  <si>
    <t xml:space="preserve">Monitored stack + trial coaching</t>
  </si>
  <si>
    <t xml:space="preserve">Steady state and what a lower price must earn back</t>
  </si>
  <si>
    <t xml:space="preserve">Steady-state active paid users</t>
  </si>
  <si>
    <t xml:space="preserve">Steady-state monthly profit (selected stack)</t>
  </si>
  <si>
    <t xml:space="preserve">Paid users needed to match current-price profit</t>
  </si>
  <si>
    <t xml:space="preserve">Trial-to-paid conversion needed for that</t>
  </si>
  <si>
    <t xml:space="preserve">vs 2.00% assumed</t>
  </si>
  <si>
    <t xml:space="preserve">Paid-user multiple versus assumption</t>
  </si>
  <si>
    <t xml:space="preserve">x</t>
  </si>
  <si>
    <t xml:space="preserve">Profitability timing (month numbers from Forecast 12M)</t>
  </si>
  <si>
    <t xml:space="preserve">Basis</t>
  </si>
  <si>
    <t xml:space="preserve">Price</t>
  </si>
  <si>
    <t xml:space="preserve">Organic: first profitable month</t>
  </si>
  <si>
    <t xml:space="preserve">First month the flag row turns 1</t>
  </si>
  <si>
    <t xml:space="preserve">Organic: cumulative cash ≥ $0 from month</t>
  </si>
  <si>
    <t xml:space="preserve">Paid CAC at own 3:1 ceiling: first profitable month</t>
  </si>
  <si>
    <t xml:space="preserve">Paid scenario spends each price’s own CAC ceiling (row 14)</t>
  </si>
  <si>
    <t xml:space="preserve">Paid CAC at own 3:1 ceiling: cumulative cash ≥ $0 from month</t>
  </si>
  <si>
    <t xml:space="preserve">Break-even price by active paid users</t>
  </si>
  <si>
    <t xml:space="preserve">Lean only</t>
  </si>
  <si>
    <t xml:space="preserve">Lean + trials</t>
  </si>
  <si>
    <t xml:space="preserve">Monitored + trials</t>
  </si>
  <si>
    <t xml:space="preserve">(fixed ÷ users + $0.30 + Gemini) ÷ (1 − 3.6%)</t>
  </si>
  <si>
    <t xml:space="preserve">Heavy-user coaching exposure (2027 Gemini price)</t>
  </si>
  <si>
    <t xml:space="preserve">Days counted per month</t>
  </si>
  <si>
    <t xml:space="preserve">days</t>
  </si>
  <si>
    <t xml:space="preserve">Max uncached calls / user / month</t>
  </si>
  <si>
    <t xml:space="preserve">cap × days</t>
  </si>
  <si>
    <t xml:space="preserve">Gemini cost / call, no thinking</t>
  </si>
  <si>
    <t xml:space="preserve">USD / call</t>
  </si>
  <si>
    <t xml:space="preserve">Gemini cost / call, with thinking (Assumptions B33)</t>
  </si>
  <si>
    <t xml:space="preserve">Contribution, modeled user (10 calls) with thinking</t>
  </si>
  <si>
    <t xml:space="preserve">Contribution, cap-maxing user, no thinking</t>
  </si>
  <si>
    <t xml:space="preserve">Contribution, cap-maxing user, with thinking</t>
  </si>
  <si>
    <t xml:space="preserve">Thinking tokens / call where a cap-maxing user turns negative</t>
  </si>
  <si>
    <t xml:space="preserve">tokens / call</t>
  </si>
  <si>
    <t xml:space="preserve">Timing detail — monthly profit by price (same ramp, fixed cost and Gemini cost as Forecast 12M)</t>
  </si>
  <si>
    <t xml:space="preserve">Organic operating profit</t>
  </si>
  <si>
    <t xml:space="preserve">Organic cumulative cash</t>
  </si>
  <si>
    <t xml:space="preserve">Paid-CAC operating profit</t>
  </si>
  <si>
    <t xml:space="preserve">Paid-CAC cumulative cash</t>
  </si>
  <si>
    <t xml:space="preserve">flag: organic profit &gt; 0</t>
  </si>
  <si>
    <t xml:space="preserve">flag: organic cumulative ≥ 0</t>
  </si>
  <si>
    <t xml:space="preserve">flag: paid-CAC profit &gt; 0</t>
  </si>
  <si>
    <t xml:space="preserve">flag: paid-CAC cumulative ≥ 0</t>
  </si>
  <si>
    <t xml:space="preserve">Model checks and audit controls</t>
  </si>
  <si>
    <t xml:space="preserve">PASS means the model ties to its stated assumptions. It does not mean the commercial assumptions will occur.</t>
  </si>
  <si>
    <t xml:space="preserve">Check</t>
  </si>
  <si>
    <t xml:space="preserve">Actual</t>
  </si>
  <si>
    <t xml:space="preserve">Expected</t>
  </si>
  <si>
    <t xml:space="preserve">Difference</t>
  </si>
  <si>
    <t xml:space="preserve">Tolerance</t>
  </si>
  <si>
    <t xml:space="preserve">Where to fix / note</t>
  </si>
  <si>
    <t xml:space="preserve">New paid ramp equals trials × conversion</t>
  </si>
  <si>
    <t xml:space="preserve">Assumptions B8:B10</t>
  </si>
  <si>
    <t xml:space="preserve">Lean fixed stack ties</t>
  </si>
  <si>
    <t xml:space="preserve">Stack Comparison C7:C17</t>
  </si>
  <si>
    <t xml:space="preserve">Monitored fixed stack ties</t>
  </si>
  <si>
    <t xml:space="preserve">Stack Comparison D7:D17</t>
  </si>
  <si>
    <t xml:space="preserve">Unit contribution ties</t>
  </si>
  <si>
    <t xml:space="preserve">Unit Economics B5:B11</t>
  </si>
  <si>
    <t xml:space="preserve">LTV ties to lifetime</t>
  </si>
  <si>
    <t xml:space="preserve">Unit Economics B15</t>
  </si>
  <si>
    <t xml:space="preserve">CAC ceiling is LTV / 3</t>
  </si>
  <si>
    <t xml:space="preserve">Unit Economics B16</t>
  </si>
  <si>
    <t xml:space="preserve">Current steady-state paid users</t>
  </si>
  <si>
    <t xml:space="preserve">Forecast 12M row 18</t>
  </si>
  <si>
    <t xml:space="preserve">Current Month 1 paid users reflect trial</t>
  </si>
  <si>
    <t xml:space="preserve">Forecast 12M B18</t>
  </si>
  <si>
    <t xml:space="preserve">Historical Month 1 profit reproduces revised model</t>
  </si>
  <si>
    <t xml:space="preserve">10 × $9.48 − $94</t>
  </si>
  <si>
    <t xml:space="preserve">Prior $85 LTV mismatch is surfaced</t>
  </si>
  <si>
    <t xml:space="preserve">OK means the historical mismatch is visible</t>
  </si>
  <si>
    <t xml:space="preserve">Current comparison contribution ties</t>
  </si>
  <si>
    <t xml:space="preserve">Assumptions E41 / Unit Economics B11</t>
  </si>
  <si>
    <t xml:space="preserve">Overall model status</t>
  </si>
  <si>
    <t xml:space="preserve">Financial audit completed: historical claims reconciled; trial and paid coaching usage included; Gemini's 2027 price step included; fixed and variable costs separated; paid CAC shown separately; forecast horizon tied to the fixed 12-month layout. PASS confirms formula consistency, not commercial validation.</t>
  </si>
  <si>
    <t xml:space="preserve">Stack comparison 2026 variable cost</t>
  </si>
  <si>
    <t xml:space="preserve">Stack Comparison C24:C26 / Unit Economics</t>
  </si>
  <si>
    <t xml:space="preserve">Stack comparison 2027 variable cost</t>
  </si>
  <si>
    <t xml:space="preserve">Stack Comparison D24:D26 / Unit Economics</t>
  </si>
  <si>
    <t xml:space="preserve">Month 1 trial coaching cost included</t>
  </si>
  <si>
    <t xml:space="preserve">Forecast 12M B21 / 500 active trials</t>
  </si>
  <si>
    <t xml:space="preserve">Forecast horizon matches forecast columns</t>
  </si>
  <si>
    <t xml:space="preserve">Assumptions B7 / Forecast 12M B:M</t>
  </si>
  <si>
    <t xml:space="preserve">Forecast month index present</t>
  </si>
  <si>
    <t xml:space="preserve">Forecast 12M row 3 (unmerged 2026-10-12)</t>
  </si>
  <si>
    <t xml:space="preserve">Price Sensitivity current contribution ties</t>
  </si>
  <si>
    <t xml:space="preserve">Price Sensitivity B11</t>
  </si>
  <si>
    <t xml:space="preserve">Price Sensitivity current lean break-even ties</t>
  </si>
  <si>
    <t xml:space="preserve">Price Sensitivity B19</t>
  </si>
  <si>
    <t xml:space="preserve">Price Sensitivity current organic profit row ties</t>
  </si>
  <si>
    <t xml:space="preserve">Price Sensitivity row 61 vs Forecast row 26</t>
  </si>
  <si>
    <t xml:space="preserve">Price Sensitivity current paid-CAC profit row ties</t>
  </si>
  <si>
    <t xml:space="preserve">Price Sensitivity row 63 vs Forecast row 41</t>
  </si>
  <si>
    <t xml:space="preserve">Price Sensitivity steady-state profit ties</t>
  </si>
  <si>
    <t xml:space="preserve">Price Sensitivity B26 vs Forecast M26</t>
  </si>
  <si>
    <t xml:space="preserve">Price Sensitivity paid-CAC cash month ties</t>
  </si>
  <si>
    <t xml:space="preserve">Price Sensitivity B37 vs Summary C28</t>
  </si>
  <si>
    <t xml:space="preserve">Sources and audit trail</t>
  </si>
  <si>
    <t xml:space="preserve">Rows dated 2026-10-12 were re-checked against the official page or repository on that date; rows still dated 2026-09-05 were not re-checked. Historical assumptions come from archived planning documents and are preserved for comparison, not treated as current facts.</t>
  </si>
  <si>
    <t xml:space="preserve">Input / service</t>
  </si>
  <si>
    <t xml:space="preserve">Value used</t>
  </si>
  <si>
    <t xml:space="preserve">As of</t>
  </si>
  <si>
    <t xml:space="preserve">Source type</t>
  </si>
  <si>
    <t xml:space="preserve">Reference</t>
  </si>
  <si>
    <t xml:space="preserve">Supabase Pro</t>
  </si>
  <si>
    <t xml:space="preserve">USD/month</t>
  </si>
  <si>
    <t xml:space="preserve">2026-10-12</t>
  </si>
  <si>
    <t xml:space="preserve">Official pricing</t>
  </si>
  <si>
    <t xml:space="preserve">Pro from $25/mo; $10 compute credit (one Micro); 100k MAU; 250 GB egress; 2M Edge invocations</t>
  </si>
  <si>
    <t xml:space="preserve">Vercel Pro</t>
  </si>
  <si>
    <t xml:space="preserve">https://vercel.com/docs/plans/pro</t>
  </si>
  <si>
    <t xml:space="preserve">$20 platform fee incl. 1 deploying seat and $20 usage credit; Flat Rate CDN 1M requests / 1 TB</t>
  </si>
  <si>
    <t xml:space="preserve">Stripe Payments</t>
  </si>
  <si>
    <t xml:space="preserve">% + $0.30</t>
  </si>
  <si>
    <t xml:space="preserve">https://stripe.com/pricing</t>
  </si>
  <si>
    <t xml:space="preserve">Domestic cards; +1.5% international, +1% currency conversion</t>
  </si>
  <si>
    <t xml:space="preserve">Stripe Billing</t>
  </si>
  <si>
    <t xml:space="preserve">% of volume</t>
  </si>
  <si>
    <t xml:space="preserve">https://stripe.com/billing/pricing</t>
  </si>
  <si>
    <t xml:space="preserve">Pay-as-you-go 0.7% of Billing volume; no recurring fee</t>
  </si>
  <si>
    <t xml:space="preserve">base USD/month</t>
  </si>
  <si>
    <t xml:space="preserve">Free: 1M analytics events, 5K recordings, 1M flag requests, 100K exceptions; overages not modeled</t>
  </si>
  <si>
    <t xml:space="preserve">Sentry Developer</t>
  </si>
  <si>
    <t xml:space="preserve">Lean base; 5k errors; one user</t>
  </si>
  <si>
    <t xml:space="preserve">Sentry Team</t>
  </si>
  <si>
    <t xml:space="preserve">$312/yr annual billing; monthly-billing price not shown on page</t>
  </si>
  <si>
    <t xml:space="preserve">GitHub Free</t>
  </si>
  <si>
    <t xml:space="preserve">GitHub API</t>
  </si>
  <si>
    <t xml:space="preserve">GitHub</t>
  </si>
  <si>
    <t xml:space="preserve">https://api.github.com/repos/relativityE/speaksharp</t>
  </si>
  <si>
    <t xml:space="preserve">Repository visibility verified public on 2026-10-12</t>
  </si>
  <si>
    <t xml:space="preserve">Historical Resend Pro</t>
  </si>
  <si>
    <t xml:space="preserve">2026-09-05</t>
  </si>
  <si>
    <t xml:space="preserve">Resend</t>
  </si>
  <si>
    <t xml:space="preserve">Historical only; current plan uses Gmail</t>
  </si>
  <si>
    <t xml:space="preserve">Current Gmail</t>
  </si>
  <si>
    <t xml:space="preserve">incremental USD/month</t>
  </si>
  <si>
    <t xml:space="preserve">Management direction</t>
  </si>
  <si>
    <t xml:space="preserve">User decision</t>
  </si>
  <si>
    <t xml:space="preserve">https://mail.google.com/</t>
  </si>
  <si>
    <t xml:space="preserve">Existing Gmail; Workspace Starter optional at $7/user/month annual</t>
  </si>
  <si>
    <t xml:space="preserve">Google Workspace Starter option</t>
  </si>
  <si>
    <t xml:space="preserve">USD/user/month</t>
  </si>
  <si>
    <t xml:space="preserve">Google</t>
  </si>
  <si>
    <t xml:space="preserve">https://workspace.google.com/pricing.html</t>
  </si>
  <si>
    <t xml:space="preserve">Not included in base</t>
  </si>
  <si>
    <t xml:space="preserve">AssemblyAI current comparator</t>
  </si>
  <si>
    <t xml:space="preserve">USD/hour</t>
  </si>
  <si>
    <t xml:space="preserve">Not used by current product; old model used $0.47/hour</t>
  </si>
  <si>
    <t xml:space="preserve">input USD/1M</t>
  </si>
  <si>
    <t xml:space="preserve">Google AI</t>
  </si>
  <si>
    <t xml:space="preserve">Former code model; replaced by gemini-3.8-flash in #1586 (price not re-checked)</t>
  </si>
  <si>
    <t xml:space="preserve">Gemini 3.8 Flash</t>
  </si>
  <si>
    <t xml:space="preserve">input USD/1M through 2026</t>
  </si>
  <si>
    <t xml:space="preserve">Current code model; $3.75 output; $1.50/$7.50 from 2027-01-01; output includes thinking tokens</t>
  </si>
  <si>
    <t xml:space="preserve">Lower-cost benchmark candidate; $2.50 output</t>
  </si>
  <si>
    <t xml:space="preserve">Gemini deprecation mapping</t>
  </si>
  <si>
    <t xml:space="preserve">Official documentation</t>
  </si>
  <si>
    <t xml:space="preserve">https://ai.google.dev/gemini-api/docs/deprecations</t>
  </si>
  <si>
    <t xml:space="preserve">Legacy 3 Flash Preview → 3.6 Flash</t>
  </si>
  <si>
    <t xml:space="preserve">Current price and trial</t>
  </si>
  <si>
    <t xml:space="preserve">USD/month after 30 days</t>
  </si>
  <si>
    <t xml:space="preserve">Current product requirement</t>
  </si>
  <si>
    <t xml:space="preserve">SpeakSharp</t>
  </si>
  <si>
    <t xml:space="preserve">product_release/PRODUCT_REQUIREMENTS.md</t>
  </si>
  <si>
    <t xml:space="preserve">PRODUCT_REQUIREMENTS.md line 115 ($10/month after trial); billing not activated; revenue remains projection</t>
  </si>
  <si>
    <t xml:space="preserve">Current Gemini code model</t>
  </si>
  <si>
    <t xml:space="preserve">model id</t>
  </si>
  <si>
    <t xml:space="preserve">Code</t>
  </si>
  <si>
    <t xml:space="preserve">backend/supabase/functions/get-ai-suggestions/contract.json</t>
  </si>
  <si>
    <t xml:space="preserve">gemini-3.8-flash</t>
  </si>
  <si>
    <t xml:space="preserve">Current private STT candidate</t>
  </si>
  <si>
    <t xml:space="preserve">MB model bundle</t>
  </si>
  <si>
    <t xml:space="preserve">Code / local asset</t>
  </si>
  <si>
    <t xml:space="preserve">frontend/src/config/private-stt.config.json</t>
  </si>
  <si>
    <t xml:space="preserve">v2:base.en; 80,553,222 bytes measured in frontend/public/models/whisper-base.en</t>
  </si>
  <si>
    <t xml:space="preserve">Prior pricing assumptions</t>
  </si>
  <si>
    <t xml:space="preserve">historical model</t>
  </si>
  <si>
    <t xml:space="preserve">2026-02</t>
  </si>
  <si>
    <t xml:space="preserve">Archived planning</t>
  </si>
  <si>
    <t xml:space="preserve">product_release/archive/superseded-docs-2026-08-29/pricing_analysis.md</t>
  </si>
  <si>
    <t xml:space="preserve">$7.99 and $14.99 versions</t>
  </si>
  <si>
    <t xml:space="preserve">Prior CFO forecast</t>
  </si>
  <si>
    <t xml:space="preserve">product_release/archive/legacy-docs/d31102a8/PRD.md</t>
  </si>
  <si>
    <t xml:space="preserve">Conversion, lifetime, CAC and ramp assumptions</t>
  </si>
  <si>
    <t xml:space="preserve">Gemini 3.6 Flash</t>
  </si>
  <si>
    <t xml:space="preserve">Prior planning baseline; identical price schedule to 3.8 Flash</t>
  </si>
  <si>
    <t xml:space="preserve">Gemini 3.8 Flash thinking default</t>
  </si>
  <si>
    <t xml:space="preserve">medium</t>
  </si>
  <si>
    <t xml:space="preserve">thinking_level</t>
  </si>
  <si>
    <t xml:space="preserve">https://ai.google.dev/gemini-api/docs/latest-model</t>
  </si>
  <si>
    <t xml:space="preserve">Code sets no thinking_level, so the default applies</t>
  </si>
  <si>
    <t xml:space="preserve">Coaching daily cap</t>
  </si>
  <si>
    <t xml:space="preserve">uncached calls / user / UTC day</t>
  </si>
  <si>
    <t xml:space="preserve">uncachedGenerationCapPerUtcDay</t>
  </si>
  <si>
    <t xml:space="preserve">Coaching token usage telemetry</t>
  </si>
  <si>
    <t xml:space="preserve">none</t>
  </si>
  <si>
    <t xml:space="preserve">Code search</t>
  </si>
  <si>
    <t xml:space="preserve">backend/, frontend/src, scripts, tests</t>
  </si>
  <si>
    <t xml:space="preserve">No usageMetadata / thoughtsTokenCount capture found; thinking cost unmeasured</t>
  </si>
</sst>
</file>

<file path=xl/styles.xml><?xml version="1.0" encoding="utf-8"?>
<styleSheet xmlns="http://schemas.openxmlformats.org/spreadsheetml/2006/main">
  <numFmts count="20">
    <numFmt numFmtId="164" formatCode="General"/>
    <numFmt numFmtId="165" formatCode="\$#,##0"/>
    <numFmt numFmtId="166" formatCode="\$#,##0.00"/>
    <numFmt numFmtId="167" formatCode="\$0.0000"/>
    <numFmt numFmtId="168" formatCode="0"/>
    <numFmt numFmtId="169" formatCode="\$0.00"/>
    <numFmt numFmtId="170" formatCode="\$0.00;[RED]&quot;($&quot;0.00\);\-"/>
    <numFmt numFmtId="171" formatCode="mmm\ yyyy"/>
    <numFmt numFmtId="172" formatCode="General"/>
    <numFmt numFmtId="173" formatCode="0.0%"/>
    <numFmt numFmtId="174" formatCode="yyyy\-mm\-dd"/>
    <numFmt numFmtId="175" formatCode="#,##0"/>
    <numFmt numFmtId="176" formatCode="\$0.000000"/>
    <numFmt numFmtId="177" formatCode="mmm\ yy"/>
    <numFmt numFmtId="178" formatCode="\$#,##0.00;[RED]&quot;($&quot;#,##0.00\);\-"/>
    <numFmt numFmtId="179" formatCode="0.0"/>
    <numFmt numFmtId="180" formatCode="0.00%"/>
    <numFmt numFmtId="181" formatCode="0.00\x"/>
    <numFmt numFmtId="182" formatCode="\$0.00000"/>
    <numFmt numFmtId="183" formatCode="0.0000"/>
  </numFmts>
  <fonts count="21">
    <font>
      <sz val="10"/>
      <name val="Arial"/>
      <family val="2"/>
    </font>
    <font>
      <sz val="10"/>
      <name val="Arial"/>
      <family val="0"/>
    </font>
    <font>
      <sz val="10"/>
      <name val="Arial"/>
      <family val="0"/>
    </font>
    <font>
      <sz val="10"/>
      <name val="Arial"/>
      <family val="0"/>
    </font>
    <font>
      <sz val="11"/>
      <name val="Calibri"/>
      <family val="0"/>
      <charset val="1"/>
    </font>
    <font>
      <b val="true"/>
      <sz val="18"/>
      <color rgb="FFFFFFFF"/>
      <name val="Aptos"/>
      <family val="0"/>
      <charset val="1"/>
    </font>
    <font>
      <sz val="11"/>
      <name val="Aptos"/>
      <family val="0"/>
      <charset val="1"/>
    </font>
    <font>
      <sz val="10"/>
      <color rgb="FF344054"/>
      <name val="Aptos"/>
      <family val="0"/>
      <charset val="1"/>
    </font>
    <font>
      <b val="true"/>
      <sz val="10"/>
      <color rgb="FFFFFFFF"/>
      <name val="Aptos"/>
      <family val="0"/>
      <charset val="1"/>
    </font>
    <font>
      <b val="true"/>
      <sz val="11"/>
      <color rgb="FF184E49"/>
      <name val="Aptos"/>
      <family val="0"/>
      <charset val="1"/>
    </font>
    <font>
      <b val="true"/>
      <sz val="18"/>
      <color rgb="FF0D7D74"/>
      <name val="Aptos"/>
      <family val="0"/>
      <charset val="1"/>
    </font>
    <font>
      <b val="true"/>
      <sz val="11"/>
      <color rgb="FFFFFFFF"/>
      <name val="Aptos"/>
      <family val="0"/>
      <charset val="1"/>
    </font>
    <font>
      <b val="true"/>
      <sz val="10"/>
      <color rgb="FF7A4A00"/>
      <name val="Aptos"/>
      <family val="0"/>
      <charset val="1"/>
    </font>
    <font>
      <i val="true"/>
      <sz val="9"/>
      <color rgb="FF667085"/>
      <name val="Aptos"/>
      <family val="0"/>
      <charset val="1"/>
    </font>
    <font>
      <b val="true"/>
      <sz val="18"/>
      <color rgb="FF000000"/>
      <name val="Calibri"/>
      <family val="2"/>
    </font>
    <font>
      <sz val="10"/>
      <color rgb="FF000000"/>
      <name val="Calibri"/>
      <family val="2"/>
    </font>
    <font>
      <b val="true"/>
      <sz val="10"/>
      <color rgb="FF184E49"/>
      <name val="Aptos"/>
      <family val="0"/>
      <charset val="1"/>
    </font>
    <font>
      <b val="true"/>
      <sz val="10"/>
      <color rgb="FF15324B"/>
      <name val="Aptos"/>
      <family val="0"/>
      <charset val="1"/>
    </font>
    <font>
      <sz val="9"/>
      <color rgb="FF98A2B3"/>
      <name val="Aptos"/>
      <family val="0"/>
      <charset val="1"/>
    </font>
    <font>
      <b val="true"/>
      <sz val="16"/>
      <color rgb="FF067647"/>
      <name val="Aptos"/>
      <family val="0"/>
      <charset val="1"/>
    </font>
    <font>
      <sz val="10"/>
      <color rgb="FF15324B"/>
      <name val="Aptos"/>
      <family val="0"/>
      <charset val="1"/>
    </font>
  </fonts>
  <fills count="12">
    <fill>
      <patternFill patternType="none"/>
    </fill>
    <fill>
      <patternFill patternType="gray125"/>
    </fill>
    <fill>
      <patternFill patternType="solid">
        <fgColor rgb="FF15324B"/>
        <bgColor rgb="FF344054"/>
      </patternFill>
    </fill>
    <fill>
      <patternFill patternType="solid">
        <fgColor rgb="FFE8EEF4"/>
        <bgColor rgb="FFEAF2FF"/>
      </patternFill>
    </fill>
    <fill>
      <patternFill patternType="solid">
        <fgColor rgb="FF0D7D74"/>
        <bgColor rgb="FF067647"/>
      </patternFill>
    </fill>
    <fill>
      <patternFill patternType="solid">
        <fgColor rgb="FFEAF5F3"/>
        <bgColor rgb="FFE8F5EE"/>
      </patternFill>
    </fill>
    <fill>
      <patternFill patternType="solid">
        <fgColor rgb="FFFFFFFF"/>
        <bgColor rgb="FFF4F6F8"/>
      </patternFill>
    </fill>
    <fill>
      <patternFill patternType="solid">
        <fgColor rgb="FFFFF4DE"/>
        <bgColor rgb="FFFFF2CC"/>
      </patternFill>
    </fill>
    <fill>
      <patternFill patternType="solid">
        <fgColor rgb="FFF4F6F8"/>
        <bgColor rgb="FFEAF5F3"/>
      </patternFill>
    </fill>
    <fill>
      <patternFill patternType="solid">
        <fgColor rgb="FFFFF2CC"/>
        <bgColor rgb="FFFFF4DE"/>
      </patternFill>
    </fill>
    <fill>
      <patternFill patternType="solid">
        <fgColor rgb="FFEAF2FF"/>
        <bgColor rgb="FFEAF5F3"/>
      </patternFill>
    </fill>
    <fill>
      <patternFill patternType="solid">
        <fgColor rgb="FFE8F5EE"/>
        <bgColor rgb="FFEAF5F3"/>
      </patternFill>
    </fill>
  </fills>
  <borders count="7">
    <border diagonalUp="false" diagonalDown="false">
      <left/>
      <right/>
      <top/>
      <bottom/>
      <diagonal/>
    </border>
    <border diagonalUp="false" diagonalDown="false">
      <left style="thin">
        <color rgb="FFC7DAD8"/>
      </left>
      <right style="thin">
        <color rgb="FFC7DAD8"/>
      </right>
      <top style="thin">
        <color rgb="FFC7DAD8"/>
      </top>
      <bottom style="thin">
        <color rgb="FFC7DAD8"/>
      </bottom>
      <diagonal/>
    </border>
    <border diagonalUp="false" diagonalDown="false">
      <left style="thin">
        <color rgb="FFD0D5DD"/>
      </left>
      <right style="thin">
        <color rgb="FFD0D5DD"/>
      </right>
      <top style="thin">
        <color rgb="FFD0D5DD"/>
      </top>
      <bottom style="thin">
        <color rgb="FFD0D5DD"/>
      </bottom>
      <diagonal/>
    </border>
    <border diagonalUp="false" diagonalDown="false">
      <left/>
      <right/>
      <top/>
      <bottom style="thin">
        <color rgb="FFE4E7EC"/>
      </bottom>
      <diagonal/>
    </border>
    <border diagonalUp="false" diagonalDown="false">
      <left/>
      <right/>
      <top style="thin">
        <color rgb="FFE4E7EC"/>
      </top>
      <bottom style="thin">
        <color rgb="FFE4E7EC"/>
      </bottom>
      <diagonal/>
    </border>
    <border diagonalUp="false" diagonalDown="false">
      <left/>
      <right/>
      <top style="thin">
        <color rgb="FFE4E7EC"/>
      </top>
      <bottom style="thin">
        <color rgb="FFD0D5DD"/>
      </bottom>
      <diagonal/>
    </border>
    <border diagonalUp="false" diagonalDown="false">
      <left/>
      <right style="thin">
        <color rgb="FFC7DAD8"/>
      </right>
      <top/>
      <bottom style="thin">
        <color rgb="FFC7DAD8"/>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general" vertical="center" textRotation="0" wrapText="false" indent="0" shrinkToFit="false"/>
      <protection locked="true" hidden="false"/>
    </xf>
    <xf numFmtId="164" fontId="6" fillId="0" borderId="0" xfId="20" applyFont="true" applyBorder="false" applyAlignment="false" applyProtection="false">
      <alignment horizontal="general" vertical="bottom" textRotation="0" wrapText="false" indent="0" shrinkToFit="false"/>
      <protection locked="true" hidden="false"/>
    </xf>
    <xf numFmtId="164" fontId="7" fillId="3" borderId="0" xfId="20" applyFont="true" applyBorder="true" applyAlignment="true" applyProtection="false">
      <alignment horizontal="general" vertical="center" textRotation="0" wrapText="true" indent="0" shrinkToFit="false"/>
      <protection locked="true" hidden="false"/>
    </xf>
    <xf numFmtId="164" fontId="8" fillId="4" borderId="1" xfId="20" applyFont="true" applyBorder="true" applyAlignment="true" applyProtection="false">
      <alignment horizontal="general" vertical="center" textRotation="0" wrapText="true" indent="0" shrinkToFit="false"/>
      <protection locked="true" hidden="false"/>
    </xf>
    <xf numFmtId="164" fontId="9" fillId="5" borderId="0" xfId="20" applyFont="true" applyBorder="true" applyAlignment="true" applyProtection="false">
      <alignment horizontal="general" vertical="bottom" textRotation="0" wrapText="true" indent="0" shrinkToFit="false"/>
      <protection locked="true" hidden="false"/>
    </xf>
    <xf numFmtId="165" fontId="6" fillId="0" borderId="0" xfId="20" applyFont="true" applyBorder="false" applyAlignment="false" applyProtection="false">
      <alignment horizontal="general" vertical="bottom" textRotation="0" wrapText="false" indent="0" shrinkToFit="false"/>
      <protection locked="true" hidden="false"/>
    </xf>
    <xf numFmtId="164" fontId="8" fillId="2" borderId="0" xfId="20" applyFont="true" applyBorder="true" applyAlignment="false" applyProtection="false">
      <alignment horizontal="general" vertical="bottom" textRotation="0" wrapText="false" indent="0" shrinkToFit="false"/>
      <protection locked="true" hidden="false"/>
    </xf>
    <xf numFmtId="166" fontId="10" fillId="6" borderId="2" xfId="20" applyFont="true" applyBorder="true" applyAlignment="true" applyProtection="false">
      <alignment horizontal="general" vertical="center" textRotation="0" wrapText="false" indent="0" shrinkToFit="false"/>
      <protection locked="true" hidden="false"/>
    </xf>
    <xf numFmtId="167" fontId="10" fillId="6" borderId="2" xfId="20" applyFont="true" applyBorder="true" applyAlignment="true" applyProtection="false">
      <alignment horizontal="general" vertical="center" textRotation="0" wrapText="false" indent="0" shrinkToFit="false"/>
      <protection locked="true" hidden="false"/>
    </xf>
    <xf numFmtId="168" fontId="10" fillId="6" borderId="2" xfId="20" applyFont="true" applyBorder="true" applyAlignment="true" applyProtection="false">
      <alignment horizontal="general" vertical="center" textRotation="0" wrapText="false" indent="0" shrinkToFit="false"/>
      <protection locked="true" hidden="false"/>
    </xf>
    <xf numFmtId="169" fontId="10" fillId="6" borderId="2" xfId="20" applyFont="true" applyBorder="true" applyAlignment="true" applyProtection="false">
      <alignment horizontal="general" vertical="center" textRotation="0" wrapText="false" indent="0" shrinkToFit="false"/>
      <protection locked="true" hidden="false"/>
    </xf>
    <xf numFmtId="164" fontId="11" fillId="2" borderId="0" xfId="20" applyFont="true" applyBorder="true" applyAlignment="true" applyProtection="false">
      <alignment horizontal="general" vertical="center" textRotation="0" wrapText="false" indent="0" shrinkToFit="false"/>
      <protection locked="true" hidden="false"/>
    </xf>
    <xf numFmtId="164" fontId="7" fillId="0" borderId="3" xfId="20" applyFont="true" applyBorder="true" applyAlignment="true" applyProtection="false">
      <alignment horizontal="general" vertical="top" textRotation="0" wrapText="false" indent="0" shrinkToFit="false"/>
      <protection locked="true" hidden="false"/>
    </xf>
    <xf numFmtId="170" fontId="7" fillId="0" borderId="3" xfId="20" applyFont="true" applyBorder="true" applyAlignment="true" applyProtection="false">
      <alignment horizontal="general" vertical="top" textRotation="0" wrapText="false" indent="0" shrinkToFit="false"/>
      <protection locked="true" hidden="false"/>
    </xf>
    <xf numFmtId="164" fontId="7" fillId="0" borderId="4" xfId="20" applyFont="true" applyBorder="true" applyAlignment="true" applyProtection="false">
      <alignment horizontal="general" vertical="top" textRotation="0" wrapText="false" indent="0" shrinkToFit="false"/>
      <protection locked="true" hidden="false"/>
    </xf>
    <xf numFmtId="170" fontId="7" fillId="0" borderId="4" xfId="20" applyFont="true" applyBorder="true" applyAlignment="true" applyProtection="false">
      <alignment horizontal="general" vertical="top" textRotation="0" wrapText="false" indent="0" shrinkToFit="false"/>
      <protection locked="true" hidden="false"/>
    </xf>
    <xf numFmtId="164" fontId="7" fillId="0" borderId="5" xfId="20" applyFont="true" applyBorder="true" applyAlignment="true" applyProtection="false">
      <alignment horizontal="general" vertical="top" textRotation="0" wrapText="false" indent="0" shrinkToFit="false"/>
      <protection locked="true" hidden="false"/>
    </xf>
    <xf numFmtId="168" fontId="7" fillId="0" borderId="5" xfId="20" applyFont="true" applyBorder="true" applyAlignment="true" applyProtection="false">
      <alignment horizontal="general" vertical="top" textRotation="0" wrapText="false" indent="0" shrinkToFit="false"/>
      <protection locked="true" hidden="false"/>
    </xf>
    <xf numFmtId="164" fontId="12" fillId="7" borderId="0" xfId="20" applyFont="true" applyBorder="true" applyAlignment="true" applyProtection="false">
      <alignment horizontal="general" vertical="bottom" textRotation="0" wrapText="true" indent="0" shrinkToFit="false"/>
      <protection locked="true" hidden="false"/>
    </xf>
    <xf numFmtId="164" fontId="13" fillId="8" borderId="0" xfId="20" applyFont="true" applyBorder="true" applyAlignment="true" applyProtection="false">
      <alignment horizontal="general" vertical="bottom" textRotation="0" wrapText="true" indent="0" shrinkToFit="false"/>
      <protection locked="true" hidden="false"/>
    </xf>
    <xf numFmtId="171" fontId="7" fillId="9" borderId="3" xfId="20" applyFont="true" applyBorder="true" applyAlignment="true" applyProtection="false">
      <alignment horizontal="general" vertical="top" textRotation="0" wrapText="false" indent="0" shrinkToFit="false"/>
      <protection locked="true" hidden="false"/>
    </xf>
    <xf numFmtId="172" fontId="7" fillId="10" borderId="4" xfId="20" applyFont="true" applyBorder="true" applyAlignment="true" applyProtection="false">
      <alignment horizontal="general" vertical="top" textRotation="0" wrapText="false" indent="0" shrinkToFit="false"/>
      <protection locked="true" hidden="false"/>
    </xf>
    <xf numFmtId="173" fontId="7" fillId="9" borderId="4" xfId="20" applyFont="true" applyBorder="true" applyAlignment="true" applyProtection="false">
      <alignment horizontal="general" vertical="top" textRotation="0" wrapText="false" indent="0" shrinkToFit="false"/>
      <protection locked="true" hidden="false"/>
    </xf>
    <xf numFmtId="164" fontId="7" fillId="9" borderId="4" xfId="20" applyFont="true" applyBorder="true" applyAlignment="true" applyProtection="false">
      <alignment horizontal="general" vertical="top" textRotation="0" wrapText="false" indent="0" shrinkToFit="false"/>
      <protection locked="true" hidden="false"/>
    </xf>
    <xf numFmtId="166" fontId="7" fillId="9" borderId="4" xfId="20" applyFont="true" applyBorder="true" applyAlignment="true" applyProtection="false">
      <alignment horizontal="general" vertical="top" textRotation="0" wrapText="false" indent="0" shrinkToFit="false"/>
      <protection locked="true" hidden="false"/>
    </xf>
    <xf numFmtId="174" fontId="7" fillId="9" borderId="4" xfId="20" applyFont="true" applyBorder="true" applyAlignment="true" applyProtection="false">
      <alignment horizontal="general" vertical="top" textRotation="0" wrapText="false" indent="0" shrinkToFit="false"/>
      <protection locked="true" hidden="false"/>
    </xf>
    <xf numFmtId="166" fontId="7" fillId="10" borderId="4" xfId="20" applyFont="true" applyBorder="true" applyAlignment="true" applyProtection="false">
      <alignment horizontal="general" vertical="top" textRotation="0" wrapText="false" indent="0" shrinkToFit="false"/>
      <protection locked="true" hidden="false"/>
    </xf>
    <xf numFmtId="166" fontId="7" fillId="9" borderId="5" xfId="20" applyFont="true" applyBorder="true" applyAlignment="true" applyProtection="false">
      <alignment horizontal="general" vertical="top" textRotation="0" wrapText="false" indent="0" shrinkToFit="false"/>
      <protection locked="true" hidden="false"/>
    </xf>
    <xf numFmtId="175" fontId="7" fillId="9" borderId="4" xfId="20" applyFont="true" applyBorder="true" applyAlignment="true" applyProtection="false">
      <alignment horizontal="general" vertical="top" textRotation="0" wrapText="false" indent="0" shrinkToFit="false"/>
      <protection locked="true" hidden="false"/>
    </xf>
    <xf numFmtId="166" fontId="7" fillId="0" borderId="3" xfId="20" applyFont="true" applyBorder="true" applyAlignment="true" applyProtection="false">
      <alignment horizontal="general" vertical="top" textRotation="0" wrapText="false" indent="0" shrinkToFit="false"/>
      <protection locked="true" hidden="false"/>
    </xf>
    <xf numFmtId="173" fontId="7" fillId="0" borderId="4" xfId="20" applyFont="true" applyBorder="true" applyAlignment="true" applyProtection="false">
      <alignment horizontal="general" vertical="top" textRotation="0" wrapText="false" indent="0" shrinkToFit="false"/>
      <protection locked="true" hidden="false"/>
    </xf>
    <xf numFmtId="166" fontId="7" fillId="0" borderId="4" xfId="20" applyFont="true" applyBorder="true" applyAlignment="true" applyProtection="false">
      <alignment horizontal="general" vertical="top" textRotation="0" wrapText="false" indent="0" shrinkToFit="false"/>
      <protection locked="true" hidden="false"/>
    </xf>
    <xf numFmtId="166" fontId="7" fillId="0" borderId="5" xfId="20" applyFont="true" applyBorder="true" applyAlignment="true" applyProtection="false">
      <alignment horizontal="general" vertical="top" textRotation="0" wrapText="false" indent="0" shrinkToFit="false"/>
      <protection locked="true" hidden="false"/>
    </xf>
    <xf numFmtId="164" fontId="16" fillId="5" borderId="0" xfId="20" applyFont="true" applyBorder="true" applyAlignment="true" applyProtection="false">
      <alignment horizontal="general" vertical="bottom" textRotation="0" wrapText="true" indent="0" shrinkToFit="false"/>
      <protection locked="true" hidden="false"/>
    </xf>
    <xf numFmtId="164" fontId="11" fillId="2" borderId="0" xfId="20" applyFont="true" applyBorder="false" applyAlignment="false" applyProtection="false">
      <alignment horizontal="general" vertical="bottom" textRotation="0" wrapText="false" indent="0" shrinkToFit="false"/>
      <protection locked="true" hidden="false"/>
    </xf>
    <xf numFmtId="166" fontId="11" fillId="2" borderId="0" xfId="20" applyFont="true" applyBorder="false" applyAlignment="false" applyProtection="false">
      <alignment horizontal="general" vertical="bottom" textRotation="0" wrapText="false" indent="0" shrinkToFit="false"/>
      <protection locked="true" hidden="false"/>
    </xf>
    <xf numFmtId="164" fontId="17" fillId="8" borderId="5" xfId="20" applyFont="true" applyBorder="true" applyAlignment="true" applyProtection="false">
      <alignment horizontal="general" vertical="top" textRotation="0" wrapText="false" indent="0" shrinkToFit="false"/>
      <protection locked="true" hidden="false"/>
    </xf>
    <xf numFmtId="166" fontId="17" fillId="8" borderId="5" xfId="20" applyFont="true" applyBorder="true" applyAlignment="true" applyProtection="false">
      <alignment horizontal="general" vertical="top" textRotation="0" wrapText="false" indent="0" shrinkToFit="false"/>
      <protection locked="true" hidden="false"/>
    </xf>
    <xf numFmtId="176" fontId="7" fillId="0" borderId="3" xfId="20" applyFont="true" applyBorder="true" applyAlignment="true" applyProtection="false">
      <alignment horizontal="general" vertical="top" textRotation="0" wrapText="false" indent="0" shrinkToFit="false"/>
      <protection locked="true" hidden="false"/>
    </xf>
    <xf numFmtId="164" fontId="7" fillId="5" borderId="4" xfId="20" applyFont="true" applyBorder="true" applyAlignment="true" applyProtection="false">
      <alignment horizontal="general" vertical="top" textRotation="0" wrapText="false" indent="0" shrinkToFit="false"/>
      <protection locked="true" hidden="false"/>
    </xf>
    <xf numFmtId="176" fontId="7" fillId="5" borderId="4" xfId="20" applyFont="true" applyBorder="true" applyAlignment="true" applyProtection="false">
      <alignment horizontal="general" vertical="top" textRotation="0" wrapText="false" indent="0" shrinkToFit="false"/>
      <protection locked="true" hidden="false"/>
    </xf>
    <xf numFmtId="164" fontId="7" fillId="10" borderId="5" xfId="20" applyFont="true" applyBorder="true" applyAlignment="true" applyProtection="false">
      <alignment horizontal="general" vertical="top" textRotation="0" wrapText="false" indent="0" shrinkToFit="false"/>
      <protection locked="true" hidden="false"/>
    </xf>
    <xf numFmtId="176" fontId="7" fillId="10" borderId="5" xfId="20" applyFont="true" applyBorder="true" applyAlignment="true" applyProtection="false">
      <alignment horizontal="general" vertical="top" textRotation="0" wrapText="false" indent="0" shrinkToFit="false"/>
      <protection locked="true" hidden="false"/>
    </xf>
    <xf numFmtId="167" fontId="7" fillId="0" borderId="3" xfId="20" applyFont="true" applyBorder="true" applyAlignment="true" applyProtection="false">
      <alignment horizontal="general" vertical="top" textRotation="0" wrapText="false" indent="0" shrinkToFit="false"/>
      <protection locked="true" hidden="false"/>
    </xf>
    <xf numFmtId="167" fontId="7" fillId="0" borderId="4" xfId="20" applyFont="true" applyBorder="true" applyAlignment="true" applyProtection="false">
      <alignment horizontal="general" vertical="top" textRotation="0" wrapText="false" indent="0" shrinkToFit="false"/>
      <protection locked="true" hidden="false"/>
    </xf>
    <xf numFmtId="167" fontId="7" fillId="0" borderId="5" xfId="20" applyFont="true" applyBorder="true" applyAlignment="true" applyProtection="false">
      <alignment horizontal="general" vertical="top" textRotation="0" wrapText="false" indent="0" shrinkToFit="false"/>
      <protection locked="true" hidden="false"/>
    </xf>
    <xf numFmtId="169" fontId="7" fillId="0" borderId="3" xfId="20" applyFont="true" applyBorder="true" applyAlignment="true" applyProtection="false">
      <alignment horizontal="general" vertical="top" textRotation="0" wrapText="false" indent="0" shrinkToFit="false"/>
      <protection locked="true" hidden="false"/>
    </xf>
    <xf numFmtId="169" fontId="7" fillId="0" borderId="4" xfId="20" applyFont="true" applyBorder="true" applyAlignment="true" applyProtection="false">
      <alignment horizontal="general" vertical="top" textRotation="0" wrapText="false" indent="0" shrinkToFit="false"/>
      <protection locked="true" hidden="false"/>
    </xf>
    <xf numFmtId="164" fontId="7" fillId="7" borderId="4" xfId="20" applyFont="true" applyBorder="true" applyAlignment="true" applyProtection="false">
      <alignment horizontal="general" vertical="top" textRotation="0" wrapText="false" indent="0" shrinkToFit="false"/>
      <protection locked="true" hidden="false"/>
    </xf>
    <xf numFmtId="169" fontId="7" fillId="7" borderId="4" xfId="20" applyFont="true" applyBorder="true" applyAlignment="true" applyProtection="false">
      <alignment horizontal="general" vertical="top" textRotation="0" wrapText="false" indent="0" shrinkToFit="false"/>
      <protection locked="true" hidden="false"/>
    </xf>
    <xf numFmtId="168" fontId="7" fillId="0" borderId="4" xfId="20" applyFont="true" applyBorder="true" applyAlignment="true" applyProtection="false">
      <alignment horizontal="general" vertical="top" textRotation="0" wrapText="false" indent="0" shrinkToFit="false"/>
      <protection locked="true" hidden="false"/>
    </xf>
    <xf numFmtId="164" fontId="7" fillId="5" borderId="5" xfId="20" applyFont="true" applyBorder="true" applyAlignment="true" applyProtection="false">
      <alignment horizontal="general" vertical="top" textRotation="0" wrapText="false" indent="0" shrinkToFit="false"/>
      <protection locked="true" hidden="false"/>
    </xf>
    <xf numFmtId="168" fontId="7" fillId="5" borderId="5" xfId="20" applyFont="true" applyBorder="true" applyAlignment="true" applyProtection="false">
      <alignment horizontal="general" vertical="top" textRotation="0" wrapText="false" indent="0" shrinkToFit="false"/>
      <protection locked="true" hidden="false"/>
    </xf>
    <xf numFmtId="164" fontId="17" fillId="10" borderId="0" xfId="20" applyFont="true" applyBorder="true" applyAlignment="true" applyProtection="false">
      <alignment horizontal="general" vertical="bottom" textRotation="0" wrapText="true" indent="0" shrinkToFit="false"/>
      <protection locked="true" hidden="false"/>
    </xf>
    <xf numFmtId="164" fontId="7" fillId="3" borderId="6" xfId="20" applyFont="true" applyBorder="true" applyAlignment="true" applyProtection="false">
      <alignment horizontal="general" vertical="top" textRotation="0" wrapText="true" indent="0" shrinkToFit="false"/>
      <protection locked="true" hidden="false"/>
    </xf>
    <xf numFmtId="168" fontId="8" fillId="4" borderId="1" xfId="20" applyFont="true" applyBorder="true" applyAlignment="true" applyProtection="false">
      <alignment horizontal="center" vertical="bottom" textRotation="0" wrapText="false" indent="0" shrinkToFit="false"/>
      <protection locked="true" hidden="false"/>
    </xf>
    <xf numFmtId="177" fontId="8" fillId="4" borderId="1" xfId="20" applyFont="true" applyBorder="true" applyAlignment="true" applyProtection="false">
      <alignment horizontal="general" vertical="center" textRotation="0" wrapText="true" indent="0" shrinkToFit="false"/>
      <protection locked="true" hidden="false"/>
    </xf>
    <xf numFmtId="175" fontId="7" fillId="0" borderId="3" xfId="20" applyFont="true" applyBorder="true" applyAlignment="true" applyProtection="false">
      <alignment horizontal="general" vertical="top" textRotation="0" wrapText="false" indent="0" shrinkToFit="false"/>
      <protection locked="true" hidden="false"/>
    </xf>
    <xf numFmtId="178" fontId="7" fillId="0" borderId="4" xfId="20" applyFont="true" applyBorder="true" applyAlignment="true" applyProtection="false">
      <alignment horizontal="general" vertical="top" textRotation="0" wrapText="false" indent="0" shrinkToFit="false"/>
      <protection locked="true" hidden="false"/>
    </xf>
    <xf numFmtId="178" fontId="7" fillId="0" borderId="5" xfId="20" applyFont="true" applyBorder="true" applyAlignment="true" applyProtection="false">
      <alignment horizontal="general" vertical="top" textRotation="0" wrapText="false" indent="0" shrinkToFit="false"/>
      <protection locked="true" hidden="false"/>
    </xf>
    <xf numFmtId="175" fontId="7" fillId="0" borderId="4" xfId="20" applyFont="true" applyBorder="true" applyAlignment="true" applyProtection="false">
      <alignment horizontal="general" vertical="top" textRotation="0" wrapText="false" indent="0" shrinkToFit="false"/>
      <protection locked="true" hidden="false"/>
    </xf>
    <xf numFmtId="178" fontId="7" fillId="5" borderId="4" xfId="20" applyFont="true" applyBorder="true" applyAlignment="true" applyProtection="false">
      <alignment horizontal="general" vertical="top" textRotation="0" wrapText="false" indent="0" shrinkToFit="false"/>
      <protection locked="true" hidden="false"/>
    </xf>
    <xf numFmtId="178" fontId="7" fillId="7" borderId="4" xfId="20" applyFont="true" applyBorder="true" applyAlignment="true" applyProtection="false">
      <alignment horizontal="general" vertical="top" textRotation="0" wrapText="false" indent="0" shrinkToFit="false"/>
      <protection locked="true" hidden="false"/>
    </xf>
    <xf numFmtId="167" fontId="7" fillId="5" borderId="4" xfId="20" applyFont="true" applyBorder="true" applyAlignment="true" applyProtection="false">
      <alignment horizontal="general" vertical="top" textRotation="0" wrapText="false" indent="0" shrinkToFit="false"/>
      <protection locked="true" hidden="false"/>
    </xf>
    <xf numFmtId="173" fontId="7" fillId="5" borderId="4" xfId="20" applyFont="true" applyBorder="true" applyAlignment="true" applyProtection="false">
      <alignment horizontal="general" vertical="top" textRotation="0" wrapText="false" indent="0" shrinkToFit="false"/>
      <protection locked="true" hidden="false"/>
    </xf>
    <xf numFmtId="168" fontId="7" fillId="5" borderId="4" xfId="20" applyFont="true" applyBorder="true" applyAlignment="true" applyProtection="false">
      <alignment horizontal="general" vertical="top" textRotation="0" wrapText="false" indent="0" shrinkToFit="false"/>
      <protection locked="true" hidden="false"/>
    </xf>
    <xf numFmtId="169" fontId="7" fillId="5" borderId="4" xfId="20" applyFont="true" applyBorder="true" applyAlignment="true" applyProtection="false">
      <alignment horizontal="general" vertical="top" textRotation="0" wrapText="false" indent="0" shrinkToFit="false"/>
      <protection locked="true" hidden="false"/>
    </xf>
    <xf numFmtId="179" fontId="7" fillId="5" borderId="5" xfId="20" applyFont="true" applyBorder="true" applyAlignment="true" applyProtection="false">
      <alignment horizontal="general" vertical="top" textRotation="0" wrapText="false" indent="0" shrinkToFit="false"/>
      <protection locked="true" hidden="false"/>
    </xf>
    <xf numFmtId="169" fontId="7" fillId="0" borderId="5" xfId="20" applyFont="true" applyBorder="true" applyAlignment="true" applyProtection="false">
      <alignment horizontal="general" vertical="top" textRotation="0" wrapText="false" indent="0" shrinkToFit="false"/>
      <protection locked="true" hidden="false"/>
    </xf>
    <xf numFmtId="164" fontId="7" fillId="3" borderId="0" xfId="20" applyFont="true" applyBorder="true" applyAlignment="true" applyProtection="false">
      <alignment horizontal="general" vertical="top" textRotation="0" wrapText="true" indent="0" shrinkToFit="false"/>
      <protection locked="true" hidden="false"/>
    </xf>
    <xf numFmtId="164" fontId="11" fillId="2" borderId="0" xfId="20" applyFont="true" applyBorder="false" applyAlignment="true" applyProtection="false">
      <alignment horizontal="general" vertical="center" textRotation="0" wrapText="false" indent="0" shrinkToFit="false"/>
      <protection locked="true" hidden="false"/>
    </xf>
    <xf numFmtId="167" fontId="7" fillId="10" borderId="4" xfId="20" applyFont="true" applyBorder="true" applyAlignment="true" applyProtection="false">
      <alignment horizontal="general" vertical="top" textRotation="0" wrapText="false" indent="0" shrinkToFit="false"/>
      <protection locked="true" hidden="false"/>
    </xf>
    <xf numFmtId="173" fontId="7" fillId="10" borderId="4" xfId="20" applyFont="true" applyBorder="true" applyAlignment="true" applyProtection="false">
      <alignment horizontal="general" vertical="top" textRotation="0" wrapText="false" indent="0" shrinkToFit="false"/>
      <protection locked="true" hidden="false"/>
    </xf>
    <xf numFmtId="166" fontId="7" fillId="5" borderId="4" xfId="20" applyFont="true" applyBorder="true" applyAlignment="true" applyProtection="false">
      <alignment horizontal="general" vertical="top" textRotation="0" wrapText="false" indent="0" shrinkToFit="false"/>
      <protection locked="true" hidden="false"/>
    </xf>
    <xf numFmtId="168" fontId="7" fillId="10" borderId="4" xfId="20" applyFont="true" applyBorder="true" applyAlignment="true" applyProtection="false">
      <alignment horizontal="general" vertical="top" textRotation="0" wrapText="false" indent="0" shrinkToFit="false"/>
      <protection locked="true" hidden="false"/>
    </xf>
    <xf numFmtId="179" fontId="7" fillId="5" borderId="4" xfId="20" applyFont="true" applyBorder="true" applyAlignment="true" applyProtection="false">
      <alignment horizontal="general" vertical="top" textRotation="0" wrapText="false" indent="0" shrinkToFit="false"/>
      <protection locked="true" hidden="false"/>
    </xf>
    <xf numFmtId="180" fontId="7" fillId="5" borderId="4" xfId="20" applyFont="true" applyBorder="true" applyAlignment="true" applyProtection="false">
      <alignment horizontal="general" vertical="top" textRotation="0" wrapText="false" indent="0" shrinkToFit="false"/>
      <protection locked="true" hidden="false"/>
    </xf>
    <xf numFmtId="181" fontId="7" fillId="10" borderId="4" xfId="20" applyFont="true" applyBorder="true" applyAlignment="true" applyProtection="false">
      <alignment horizontal="general" vertical="top" textRotation="0" wrapText="false" indent="0" shrinkToFit="false"/>
      <protection locked="true" hidden="false"/>
    </xf>
    <xf numFmtId="168" fontId="7" fillId="9" borderId="4" xfId="20" applyFont="true" applyBorder="true" applyAlignment="true" applyProtection="false">
      <alignment horizontal="general" vertical="top" textRotation="0" wrapText="false" indent="0" shrinkToFit="false"/>
      <protection locked="true" hidden="false"/>
    </xf>
    <xf numFmtId="182" fontId="7" fillId="10" borderId="4" xfId="20" applyFont="true" applyBorder="true" applyAlignment="true" applyProtection="false">
      <alignment horizontal="general" vertical="top" textRotation="0" wrapText="false" indent="0" shrinkToFit="false"/>
      <protection locked="true" hidden="false"/>
    </xf>
    <xf numFmtId="175" fontId="7" fillId="5" borderId="4" xfId="20" applyFont="true" applyBorder="true" applyAlignment="true" applyProtection="false">
      <alignment horizontal="general" vertical="top" textRotation="0" wrapText="false" indent="0" shrinkToFit="false"/>
      <protection locked="true" hidden="false"/>
    </xf>
    <xf numFmtId="168" fontId="8" fillId="4" borderId="1" xfId="20" applyFont="true" applyBorder="true" applyAlignment="true" applyProtection="false">
      <alignment horizontal="general" vertical="center" textRotation="0" wrapText="true" indent="0" shrinkToFit="false"/>
      <protection locked="true" hidden="false"/>
    </xf>
    <xf numFmtId="178" fontId="7" fillId="10" borderId="4" xfId="20" applyFont="true" applyBorder="true" applyAlignment="true" applyProtection="false">
      <alignment horizontal="general" vertical="top" textRotation="0" wrapText="false" indent="0" shrinkToFit="false"/>
      <protection locked="true" hidden="false"/>
    </xf>
    <xf numFmtId="164" fontId="18" fillId="0" borderId="3" xfId="20" applyFont="true" applyBorder="true" applyAlignment="true" applyProtection="false">
      <alignment horizontal="general" vertical="top" textRotation="0" wrapText="false" indent="0" shrinkToFit="false"/>
      <protection locked="true" hidden="false"/>
    </xf>
    <xf numFmtId="168" fontId="18" fillId="0" borderId="3" xfId="20" applyFont="true" applyBorder="true" applyAlignment="true" applyProtection="false">
      <alignment horizontal="general" vertical="top" textRotation="0" wrapText="false" indent="0" shrinkToFit="false"/>
      <protection locked="true" hidden="false"/>
    </xf>
    <xf numFmtId="183" fontId="7" fillId="0" borderId="3" xfId="20" applyFont="true" applyBorder="true" applyAlignment="true" applyProtection="false">
      <alignment horizontal="general" vertical="top" textRotation="0" wrapText="false" indent="0" shrinkToFit="false"/>
      <protection locked="true" hidden="false"/>
    </xf>
    <xf numFmtId="183" fontId="7" fillId="0" borderId="4" xfId="20" applyFont="true" applyBorder="true" applyAlignment="true" applyProtection="false">
      <alignment horizontal="general" vertical="top" textRotation="0" wrapText="false" indent="0" shrinkToFit="false"/>
      <protection locked="true" hidden="false"/>
    </xf>
    <xf numFmtId="183" fontId="7" fillId="0" borderId="5" xfId="20" applyFont="true" applyBorder="true" applyAlignment="true" applyProtection="false">
      <alignment horizontal="general" vertical="top" textRotation="0" wrapText="false" indent="0" shrinkToFit="false"/>
      <protection locked="true" hidden="false"/>
    </xf>
    <xf numFmtId="166" fontId="6" fillId="0" borderId="0" xfId="20" applyFont="true" applyBorder="false" applyAlignment="false" applyProtection="false">
      <alignment horizontal="general" vertical="bottom" textRotation="0" wrapText="false" indent="0" shrinkToFit="false"/>
      <protection locked="true" hidden="false"/>
    </xf>
    <xf numFmtId="167" fontId="6" fillId="0" borderId="0" xfId="20" applyFont="true" applyBorder="false" applyAlignment="false" applyProtection="false">
      <alignment horizontal="general" vertical="bottom" textRotation="0" wrapText="false" indent="0" shrinkToFit="false"/>
      <protection locked="true" hidden="false"/>
    </xf>
    <xf numFmtId="164" fontId="19" fillId="11" borderId="0" xfId="20" applyFont="true" applyBorder="true" applyAlignment="false" applyProtection="false">
      <alignment horizontal="general" vertical="bottom" textRotation="0" wrapText="false" indent="0" shrinkToFit="false"/>
      <protection locked="true" hidden="false"/>
    </xf>
    <xf numFmtId="164" fontId="20" fillId="10" borderId="0" xfId="20" applyFont="true" applyBorder="true" applyAlignment="true" applyProtection="false">
      <alignment horizontal="general" vertical="top"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4F6F8"/>
      <rgbColor rgb="FFFF00FF"/>
      <rgbColor rgb="FF00FFFF"/>
      <rgbColor rgb="FF800000"/>
      <rgbColor rgb="FF196B24"/>
      <rgbColor rgb="FF000080"/>
      <rgbColor rgb="FF808000"/>
      <rgbColor rgb="FF800080"/>
      <rgbColor rgb="FF0D7D74"/>
      <rgbColor rgb="FFCCCCCC"/>
      <rgbColor rgb="FF8B8B8B"/>
      <rgbColor rgb="FF9999FF"/>
      <rgbColor rgb="FF993366"/>
      <rgbColor rgb="FFFFF2CC"/>
      <rgbColor rgb="FFE8F5EE"/>
      <rgbColor rgb="FF660066"/>
      <rgbColor rgb="FFFF8080"/>
      <rgbColor rgb="FF156082"/>
      <rgbColor rgb="FFD0D5DD"/>
      <rgbColor rgb="FF000080"/>
      <rgbColor rgb="FFFF00FF"/>
      <rgbColor rgb="FFFFFF00"/>
      <rgbColor rgb="FF00FFFF"/>
      <rgbColor rgb="FF800080"/>
      <rgbColor rgb="FF800000"/>
      <rgbColor rgb="FF067647"/>
      <rgbColor rgb="FF0000FF"/>
      <rgbColor rgb="FF00CCFF"/>
      <rgbColor rgb="FFEAF5F3"/>
      <rgbColor rgb="FFE8EEF4"/>
      <rgbColor rgb="FFFFF4DE"/>
      <rgbColor rgb="FFC7DAD8"/>
      <rgbColor rgb="FFEAF2FF"/>
      <rgbColor rgb="FFE4E7EC"/>
      <rgbColor rgb="FFD9D9D9"/>
      <rgbColor rgb="FF3366FF"/>
      <rgbColor rgb="FF33CCCC"/>
      <rgbColor rgb="FF99CC00"/>
      <rgbColor rgb="FFFFCC00"/>
      <rgbColor rgb="FFFF9900"/>
      <rgbColor rgb="FFE97132"/>
      <rgbColor rgb="FF667085"/>
      <rgbColor rgb="FF98A2B3"/>
      <rgbColor rgb="FF15324B"/>
      <rgbColor rgb="FF339966"/>
      <rgbColor rgb="FF184E49"/>
      <rgbColor rgb="FF333300"/>
      <rgbColor rgb="FF7A4A00"/>
      <rgbColor rgb="FF993366"/>
      <rgbColor rgb="FF333399"/>
      <rgbColor rgb="FF3440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Cumulative cash ($)</a:t>
            </a:r>
          </a:p>
        </c:rich>
      </c:tx>
      <c:overlay val="0"/>
      <c:spPr>
        <a:noFill/>
        <a:ln w="0">
          <a:noFill/>
        </a:ln>
      </c:spPr>
    </c:title>
    <c:autoTitleDeleted val="0"/>
    <c:plotArea>
      <c:lineChart>
        <c:grouping val="standard"/>
        <c:varyColors val="0"/>
        <c:ser>
          <c:idx val="0"/>
          <c:order val="0"/>
          <c:tx>
            <c:strRef>
              <c:f>"Historical"</c:f>
              <c:strCache>
                <c:ptCount val="1"/>
                <c:pt idx="0">
                  <c:v>Historical</c:v>
                </c:pt>
              </c:strCache>
            </c:strRef>
          </c:tx>
          <c:spPr>
            <a:solidFill>
              <a:srgbClr val="156082"/>
            </a:solidFill>
            <a:ln w="38160">
              <a:solidFill>
                <a:srgbClr val="15608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Summary!$J$4:$J$15</c:f>
              <c:strCache>
                <c:ptCount val="12"/>
                <c:pt idx="0">
                  <c:v>Sep 26</c:v>
                </c:pt>
                <c:pt idx="1">
                  <c:v>Oct 26</c:v>
                </c:pt>
                <c:pt idx="2">
                  <c:v>Nov 26</c:v>
                </c:pt>
                <c:pt idx="3">
                  <c:v>Dec 26</c:v>
                </c:pt>
                <c:pt idx="4">
                  <c:v>Jan 27</c:v>
                </c:pt>
                <c:pt idx="5">
                  <c:v>Feb 27</c:v>
                </c:pt>
                <c:pt idx="6">
                  <c:v>Mar 27</c:v>
                </c:pt>
                <c:pt idx="7">
                  <c:v>Apr 27</c:v>
                </c:pt>
                <c:pt idx="8">
                  <c:v>May 27</c:v>
                </c:pt>
                <c:pt idx="9">
                  <c:v>Jun 27</c:v>
                </c:pt>
                <c:pt idx="10">
                  <c:v>Jul 27</c:v>
                </c:pt>
                <c:pt idx="11">
                  <c:v>Aug 27</c:v>
                </c:pt>
              </c:strCache>
            </c:strRef>
          </c:cat>
          <c:val>
            <c:numRef>
              <c:f>Summary!$K$4:$K$15</c:f>
              <c:numCache>
                <c:formatCode>\$#,##0</c:formatCode>
                <c:ptCount val="12"/>
                <c:pt idx="0">
                  <c:v>0.800000000000011</c:v>
                </c:pt>
                <c:pt idx="1">
                  <c:v>96.4</c:v>
                </c:pt>
                <c:pt idx="2">
                  <c:v>286.8</c:v>
                </c:pt>
                <c:pt idx="3">
                  <c:v>572</c:v>
                </c:pt>
                <c:pt idx="4">
                  <c:v>952</c:v>
                </c:pt>
                <c:pt idx="5">
                  <c:v>1426.8</c:v>
                </c:pt>
                <c:pt idx="6">
                  <c:v>1901.6</c:v>
                </c:pt>
                <c:pt idx="7">
                  <c:v>2376.4</c:v>
                </c:pt>
                <c:pt idx="8">
                  <c:v>2851.2</c:v>
                </c:pt>
                <c:pt idx="9">
                  <c:v>3326</c:v>
                </c:pt>
                <c:pt idx="10">
                  <c:v>3800.8</c:v>
                </c:pt>
                <c:pt idx="11">
                  <c:v>4275.6</c:v>
                </c:pt>
              </c:numCache>
            </c:numRef>
          </c:val>
          <c:smooth val="0"/>
        </c:ser>
        <c:ser>
          <c:idx val="1"/>
          <c:order val="1"/>
          <c:tx>
            <c:strRef>
              <c:f>"Current organic"</c:f>
              <c:strCache>
                <c:ptCount val="1"/>
                <c:pt idx="0">
                  <c:v>Current organic</c:v>
                </c:pt>
              </c:strCache>
            </c:strRef>
          </c:tx>
          <c:spPr>
            <a:solidFill>
              <a:srgbClr val="e97132"/>
            </a:solidFill>
            <a:ln w="38160">
              <a:solidFill>
                <a:srgbClr val="e9713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Summary!$J$4:$J$15</c:f>
              <c:strCache>
                <c:ptCount val="12"/>
                <c:pt idx="0">
                  <c:v>Sep 26</c:v>
                </c:pt>
                <c:pt idx="1">
                  <c:v>Oct 26</c:v>
                </c:pt>
                <c:pt idx="2">
                  <c:v>Nov 26</c:v>
                </c:pt>
                <c:pt idx="3">
                  <c:v>Dec 26</c:v>
                </c:pt>
                <c:pt idx="4">
                  <c:v>Jan 27</c:v>
                </c:pt>
                <c:pt idx="5">
                  <c:v>Feb 27</c:v>
                </c:pt>
                <c:pt idx="6">
                  <c:v>Mar 27</c:v>
                </c:pt>
                <c:pt idx="7">
                  <c:v>Apr 27</c:v>
                </c:pt>
                <c:pt idx="8">
                  <c:v>May 27</c:v>
                </c:pt>
                <c:pt idx="9">
                  <c:v>Jun 27</c:v>
                </c:pt>
                <c:pt idx="10">
                  <c:v>Jul 27</c:v>
                </c:pt>
                <c:pt idx="11">
                  <c:v>Aug 27</c:v>
                </c:pt>
              </c:strCache>
            </c:strRef>
          </c:cat>
          <c:val>
            <c:numRef>
              <c:f>Summary!$L$4:$L$15</c:f>
              <c:numCache>
                <c:formatCode>\$#,##0</c:formatCode>
                <c:ptCount val="12"/>
                <c:pt idx="0">
                  <c:v>-58.125</c:v>
                </c:pt>
                <c:pt idx="1">
                  <c:v>-23.1125</c:v>
                </c:pt>
                <c:pt idx="2">
                  <c:v>105.0375</c:v>
                </c:pt>
                <c:pt idx="3">
                  <c:v>326.325</c:v>
                </c:pt>
                <c:pt idx="4">
                  <c:v>626.575</c:v>
                </c:pt>
                <c:pt idx="5">
                  <c:v>1019.7</c:v>
                </c:pt>
                <c:pt idx="6">
                  <c:v>1505.7</c:v>
                </c:pt>
                <c:pt idx="7">
                  <c:v>1991.7</c:v>
                </c:pt>
                <c:pt idx="8">
                  <c:v>2477.7</c:v>
                </c:pt>
                <c:pt idx="9">
                  <c:v>2963.7</c:v>
                </c:pt>
                <c:pt idx="10">
                  <c:v>3449.7</c:v>
                </c:pt>
                <c:pt idx="11">
                  <c:v>3935.7</c:v>
                </c:pt>
              </c:numCache>
            </c:numRef>
          </c:val>
          <c:smooth val="0"/>
        </c:ser>
        <c:ser>
          <c:idx val="2"/>
          <c:order val="2"/>
          <c:tx>
            <c:strRef>
              <c:f>"Current paid CAC"</c:f>
              <c:strCache>
                <c:ptCount val="1"/>
                <c:pt idx="0">
                  <c:v>Current paid CAC</c:v>
                </c:pt>
              </c:strCache>
            </c:strRef>
          </c:tx>
          <c:spPr>
            <a:solidFill>
              <a:srgbClr val="196b24"/>
            </a:solidFill>
            <a:ln w="38160">
              <a:solidFill>
                <a:srgbClr val="196b2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Summary!$J$4:$J$15</c:f>
              <c:strCache>
                <c:ptCount val="12"/>
                <c:pt idx="0">
                  <c:v>Sep 26</c:v>
                </c:pt>
                <c:pt idx="1">
                  <c:v>Oct 26</c:v>
                </c:pt>
                <c:pt idx="2">
                  <c:v>Nov 26</c:v>
                </c:pt>
                <c:pt idx="3">
                  <c:v>Dec 26</c:v>
                </c:pt>
                <c:pt idx="4">
                  <c:v>Jan 27</c:v>
                </c:pt>
                <c:pt idx="5">
                  <c:v>Feb 27</c:v>
                </c:pt>
                <c:pt idx="6">
                  <c:v>Mar 27</c:v>
                </c:pt>
                <c:pt idx="7">
                  <c:v>Apr 27</c:v>
                </c:pt>
                <c:pt idx="8">
                  <c:v>May 27</c:v>
                </c:pt>
                <c:pt idx="9">
                  <c:v>Jun 27</c:v>
                </c:pt>
                <c:pt idx="10">
                  <c:v>Jul 27</c:v>
                </c:pt>
                <c:pt idx="11">
                  <c:v>Aug 27</c:v>
                </c:pt>
              </c:strCache>
            </c:strRef>
          </c:cat>
          <c:val>
            <c:numRef>
              <c:f>Summary!$M$4:$M$15</c:f>
              <c:numCache>
                <c:formatCode>\$#,##0</c:formatCode>
                <c:ptCount val="12"/>
                <c:pt idx="0">
                  <c:v>-243.875</c:v>
                </c:pt>
                <c:pt idx="1">
                  <c:v>-394.6125</c:v>
                </c:pt>
                <c:pt idx="2">
                  <c:v>-452.2125</c:v>
                </c:pt>
                <c:pt idx="3">
                  <c:v>-416.675</c:v>
                </c:pt>
                <c:pt idx="4">
                  <c:v>-302.175</c:v>
                </c:pt>
                <c:pt idx="5">
                  <c:v>-94.8</c:v>
                </c:pt>
                <c:pt idx="6">
                  <c:v>205.45</c:v>
                </c:pt>
                <c:pt idx="7">
                  <c:v>505.7</c:v>
                </c:pt>
                <c:pt idx="8">
                  <c:v>805.95</c:v>
                </c:pt>
                <c:pt idx="9">
                  <c:v>1106.2</c:v>
                </c:pt>
                <c:pt idx="10">
                  <c:v>1406.45</c:v>
                </c:pt>
                <c:pt idx="11">
                  <c:v>1706.7</c:v>
                </c:pt>
              </c:numCache>
            </c:numRef>
          </c:val>
          <c:smooth val="0"/>
        </c:ser>
        <c:hiLowLines>
          <c:spPr>
            <a:ln w="0">
              <a:noFill/>
            </a:ln>
          </c:spPr>
        </c:hiLowLines>
        <c:marker val="0"/>
        <c:axId val="32301625"/>
        <c:axId val="73684210"/>
      </c:lineChart>
      <c:catAx>
        <c:axId val="3230162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3684210"/>
        <c:crosses val="autoZero"/>
        <c:auto val="1"/>
        <c:lblAlgn val="ctr"/>
        <c:lblOffset val="100"/>
        <c:noMultiLvlLbl val="0"/>
      </c:catAx>
      <c:valAx>
        <c:axId val="73684210"/>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3230162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Fixed software OpEx ($/month)</a:t>
            </a:r>
          </a:p>
        </c:rich>
      </c:tx>
      <c:overlay val="0"/>
      <c:spPr>
        <a:noFill/>
        <a:ln w="0">
          <a:noFill/>
        </a:ln>
      </c:spPr>
    </c:title>
    <c:autoTitleDeleted val="0"/>
    <c:plotArea>
      <c:barChart>
        <c:barDir val="col"/>
        <c:grouping val="clustered"/>
        <c:varyColors val="0"/>
        <c:ser>
          <c:idx val="0"/>
          <c:order val="0"/>
          <c:tx>
            <c:strRef>
              <c:f>"Historical"</c:f>
              <c:strCache>
                <c:ptCount val="1"/>
                <c:pt idx="0">
                  <c:v>Historical</c:v>
                </c:pt>
              </c:strCache>
            </c:strRef>
          </c:tx>
          <c:spPr>
            <a:solidFill>
              <a:srgbClr val="15608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'Stack Comparison'!$I$5</c:f>
              <c:strCache>
                <c:ptCount val="1"/>
                <c:pt idx="0">
                  <c:v>Fixed monthly OpEx</c:v>
                </c:pt>
              </c:strCache>
            </c:strRef>
          </c:cat>
          <c:val>
            <c:numRef>
              <c:f>'Stack Comparison'!$J$5</c:f>
              <c:numCache>
                <c:formatCode>\$#,##0</c:formatCode>
                <c:ptCount val="1"/>
                <c:pt idx="0">
                  <c:v>94</c:v>
                </c:pt>
              </c:numCache>
            </c:numRef>
          </c:val>
        </c:ser>
        <c:ser>
          <c:idx val="1"/>
          <c:order val="1"/>
          <c:tx>
            <c:strRef>
              <c:f>"Current lean"</c:f>
              <c:strCache>
                <c:ptCount val="1"/>
                <c:pt idx="0">
                  <c:v>Current lean</c:v>
                </c:pt>
              </c:strCache>
            </c:strRef>
          </c:tx>
          <c:spPr>
            <a:solidFill>
              <a:srgbClr val="e9713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'Stack Comparison'!$I$5</c:f>
              <c:strCache>
                <c:ptCount val="1"/>
                <c:pt idx="0">
                  <c:v>Fixed monthly OpEx</c:v>
                </c:pt>
              </c:strCache>
            </c:strRef>
          </c:cat>
          <c:val>
            <c:numRef>
              <c:f>'Stack Comparison'!$K$5</c:f>
              <c:numCache>
                <c:formatCode>\$#,##0</c:formatCode>
                <c:ptCount val="1"/>
                <c:pt idx="0">
                  <c:v>45</c:v>
                </c:pt>
              </c:numCache>
            </c:numRef>
          </c:val>
        </c:ser>
        <c:ser>
          <c:idx val="2"/>
          <c:order val="2"/>
          <c:tx>
            <c:strRef>
              <c:f>"Current monitored"</c:f>
              <c:strCache>
                <c:ptCount val="1"/>
                <c:pt idx="0">
                  <c:v>Current monitored</c:v>
                </c:pt>
              </c:strCache>
            </c:strRef>
          </c:tx>
          <c:spPr>
            <a:solidFill>
              <a:srgbClr val="196b2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'Stack Comparison'!$I$5</c:f>
              <c:strCache>
                <c:ptCount val="1"/>
                <c:pt idx="0">
                  <c:v>Fixed monthly OpEx</c:v>
                </c:pt>
              </c:strCache>
            </c:strRef>
          </c:cat>
          <c:val>
            <c:numRef>
              <c:f>'Stack Comparison'!$L$5</c:f>
              <c:numCache>
                <c:formatCode>\$#,##0</c:formatCode>
                <c:ptCount val="1"/>
                <c:pt idx="0">
                  <c:v>71</c:v>
                </c:pt>
              </c:numCache>
            </c:numRef>
          </c:val>
        </c:ser>
        <c:gapWidth val="150"/>
        <c:overlap val="0"/>
        <c:axId val="92805530"/>
        <c:axId val="3302891"/>
      </c:barChart>
      <c:catAx>
        <c:axId val="92805530"/>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3302891"/>
        <c:crosses val="autoZero"/>
        <c:auto val="1"/>
        <c:lblAlgn val="ctr"/>
        <c:lblOffset val="100"/>
        <c:noMultiLvlLbl val="0"/>
      </c:catAx>
      <c:valAx>
        <c:axId val="3302891"/>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280553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Monthly operating profit ($)</a:t>
            </a:r>
          </a:p>
        </c:rich>
      </c:tx>
      <c:overlay val="0"/>
      <c:spPr>
        <a:noFill/>
        <a:ln w="0">
          <a:noFill/>
        </a:ln>
      </c:spPr>
    </c:title>
    <c:autoTitleDeleted val="0"/>
    <c:plotArea>
      <c:lineChart>
        <c:grouping val="standard"/>
        <c:varyColors val="0"/>
        <c:ser>
          <c:idx val="0"/>
          <c:order val="0"/>
          <c:tx>
            <c:strRef>
              <c:f>"Historical Feb 23"</c:f>
              <c:strCache>
                <c:ptCount val="1"/>
                <c:pt idx="0">
                  <c:v>Historical Feb 23</c:v>
                </c:pt>
              </c:strCache>
            </c:strRef>
          </c:tx>
          <c:spPr>
            <a:solidFill>
              <a:srgbClr val="156082"/>
            </a:solidFill>
            <a:ln w="38160">
              <a:solidFill>
                <a:srgbClr val="15608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12M'!$A$49:$A$60</c:f>
              <c:strCache>
                <c:ptCount val="12"/>
                <c:pt idx="0">
                  <c:v>Sep 26</c:v>
                </c:pt>
                <c:pt idx="1">
                  <c:v>Oct 26</c:v>
                </c:pt>
                <c:pt idx="2">
                  <c:v>Nov 26</c:v>
                </c:pt>
                <c:pt idx="3">
                  <c:v>Dec 26</c:v>
                </c:pt>
                <c:pt idx="4">
                  <c:v>Jan 27</c:v>
                </c:pt>
                <c:pt idx="5">
                  <c:v>Feb 27</c:v>
                </c:pt>
                <c:pt idx="6">
                  <c:v>Mar 27</c:v>
                </c:pt>
                <c:pt idx="7">
                  <c:v>Apr 27</c:v>
                </c:pt>
                <c:pt idx="8">
                  <c:v>May 27</c:v>
                </c:pt>
                <c:pt idx="9">
                  <c:v>Jun 27</c:v>
                </c:pt>
                <c:pt idx="10">
                  <c:v>Jul 27</c:v>
                </c:pt>
                <c:pt idx="11">
                  <c:v>Aug 27</c:v>
                </c:pt>
              </c:strCache>
            </c:strRef>
          </c:cat>
          <c:val>
            <c:numRef>
              <c:f>'Forecast 12M'!$B$49:$B$60</c:f>
              <c:numCache>
                <c:formatCode>\$#,##0</c:formatCode>
                <c:ptCount val="12"/>
                <c:pt idx="0">
                  <c:v>0.800000000000011</c:v>
                </c:pt>
                <c:pt idx="1">
                  <c:v>95.6</c:v>
                </c:pt>
                <c:pt idx="2">
                  <c:v>190.4</c:v>
                </c:pt>
                <c:pt idx="3">
                  <c:v>285.2</c:v>
                </c:pt>
                <c:pt idx="4">
                  <c:v>380</c:v>
                </c:pt>
                <c:pt idx="5">
                  <c:v>474.8</c:v>
                </c:pt>
                <c:pt idx="6">
                  <c:v>474.8</c:v>
                </c:pt>
                <c:pt idx="7">
                  <c:v>474.8</c:v>
                </c:pt>
                <c:pt idx="8">
                  <c:v>474.8</c:v>
                </c:pt>
                <c:pt idx="9">
                  <c:v>474.8</c:v>
                </c:pt>
                <c:pt idx="10">
                  <c:v>474.8</c:v>
                </c:pt>
                <c:pt idx="11">
                  <c:v>474.8</c:v>
                </c:pt>
              </c:numCache>
            </c:numRef>
          </c:val>
          <c:smooth val="0"/>
        </c:ser>
        <c:ser>
          <c:idx val="1"/>
          <c:order val="1"/>
          <c:tx>
            <c:strRef>
              <c:f>"Current organic"</c:f>
              <c:strCache>
                <c:ptCount val="1"/>
                <c:pt idx="0">
                  <c:v>Current organic</c:v>
                </c:pt>
              </c:strCache>
            </c:strRef>
          </c:tx>
          <c:spPr>
            <a:solidFill>
              <a:srgbClr val="e97132"/>
            </a:solidFill>
            <a:ln w="38160">
              <a:solidFill>
                <a:srgbClr val="e9713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12M'!$A$49:$A$60</c:f>
              <c:strCache>
                <c:ptCount val="12"/>
                <c:pt idx="0">
                  <c:v>Sep 26</c:v>
                </c:pt>
                <c:pt idx="1">
                  <c:v>Oct 26</c:v>
                </c:pt>
                <c:pt idx="2">
                  <c:v>Nov 26</c:v>
                </c:pt>
                <c:pt idx="3">
                  <c:v>Dec 26</c:v>
                </c:pt>
                <c:pt idx="4">
                  <c:v>Jan 27</c:v>
                </c:pt>
                <c:pt idx="5">
                  <c:v>Feb 27</c:v>
                </c:pt>
                <c:pt idx="6">
                  <c:v>Mar 27</c:v>
                </c:pt>
                <c:pt idx="7">
                  <c:v>Apr 27</c:v>
                </c:pt>
                <c:pt idx="8">
                  <c:v>May 27</c:v>
                </c:pt>
                <c:pt idx="9">
                  <c:v>Jun 27</c:v>
                </c:pt>
                <c:pt idx="10">
                  <c:v>Jul 27</c:v>
                </c:pt>
                <c:pt idx="11">
                  <c:v>Aug 27</c:v>
                </c:pt>
              </c:strCache>
            </c:strRef>
          </c:cat>
          <c:val>
            <c:numRef>
              <c:f>'Forecast 12M'!$C$49:$C$60</c:f>
              <c:numCache>
                <c:formatCode>\$#,##0</c:formatCode>
                <c:ptCount val="12"/>
                <c:pt idx="0">
                  <c:v>-58.125</c:v>
                </c:pt>
                <c:pt idx="1">
                  <c:v>35.0125</c:v>
                </c:pt>
                <c:pt idx="2">
                  <c:v>128.15</c:v>
                </c:pt>
                <c:pt idx="3">
                  <c:v>221.2875</c:v>
                </c:pt>
                <c:pt idx="4">
                  <c:v>300.25</c:v>
                </c:pt>
                <c:pt idx="5">
                  <c:v>393.125</c:v>
                </c:pt>
                <c:pt idx="6">
                  <c:v>486</c:v>
                </c:pt>
                <c:pt idx="7">
                  <c:v>486</c:v>
                </c:pt>
                <c:pt idx="8">
                  <c:v>486</c:v>
                </c:pt>
                <c:pt idx="9">
                  <c:v>486</c:v>
                </c:pt>
                <c:pt idx="10">
                  <c:v>486</c:v>
                </c:pt>
                <c:pt idx="11">
                  <c:v>486</c:v>
                </c:pt>
              </c:numCache>
            </c:numRef>
          </c:val>
          <c:smooth val="0"/>
        </c:ser>
        <c:ser>
          <c:idx val="2"/>
          <c:order val="2"/>
          <c:tx>
            <c:strRef>
              <c:f>"Current paid CAC"</c:f>
              <c:strCache>
                <c:ptCount val="1"/>
                <c:pt idx="0">
                  <c:v>Current paid CAC</c:v>
                </c:pt>
              </c:strCache>
            </c:strRef>
          </c:tx>
          <c:spPr>
            <a:solidFill>
              <a:srgbClr val="196b24"/>
            </a:solidFill>
            <a:ln w="38160">
              <a:solidFill>
                <a:srgbClr val="196b2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12M'!$A$49:$A$60</c:f>
              <c:strCache>
                <c:ptCount val="12"/>
                <c:pt idx="0">
                  <c:v>Sep 26</c:v>
                </c:pt>
                <c:pt idx="1">
                  <c:v>Oct 26</c:v>
                </c:pt>
                <c:pt idx="2">
                  <c:v>Nov 26</c:v>
                </c:pt>
                <c:pt idx="3">
                  <c:v>Dec 26</c:v>
                </c:pt>
                <c:pt idx="4">
                  <c:v>Jan 27</c:v>
                </c:pt>
                <c:pt idx="5">
                  <c:v>Feb 27</c:v>
                </c:pt>
                <c:pt idx="6">
                  <c:v>Mar 27</c:v>
                </c:pt>
                <c:pt idx="7">
                  <c:v>Apr 27</c:v>
                </c:pt>
                <c:pt idx="8">
                  <c:v>May 27</c:v>
                </c:pt>
                <c:pt idx="9">
                  <c:v>Jun 27</c:v>
                </c:pt>
                <c:pt idx="10">
                  <c:v>Jul 27</c:v>
                </c:pt>
                <c:pt idx="11">
                  <c:v>Aug 27</c:v>
                </c:pt>
              </c:strCache>
            </c:strRef>
          </c:cat>
          <c:val>
            <c:numRef>
              <c:f>'Forecast 12M'!$D$49:$D$60</c:f>
              <c:numCache>
                <c:formatCode>\$#,##0</c:formatCode>
                <c:ptCount val="12"/>
                <c:pt idx="0">
                  <c:v>-243.875</c:v>
                </c:pt>
                <c:pt idx="1">
                  <c:v>-150.7375</c:v>
                </c:pt>
                <c:pt idx="2">
                  <c:v>-57.6</c:v>
                </c:pt>
                <c:pt idx="3">
                  <c:v>35.5375</c:v>
                </c:pt>
                <c:pt idx="4">
                  <c:v>114.5</c:v>
                </c:pt>
                <c:pt idx="5">
                  <c:v>207.375</c:v>
                </c:pt>
                <c:pt idx="6">
                  <c:v>300.25</c:v>
                </c:pt>
                <c:pt idx="7">
                  <c:v>300.25</c:v>
                </c:pt>
                <c:pt idx="8">
                  <c:v>300.25</c:v>
                </c:pt>
                <c:pt idx="9">
                  <c:v>300.25</c:v>
                </c:pt>
                <c:pt idx="10">
                  <c:v>300.25</c:v>
                </c:pt>
                <c:pt idx="11">
                  <c:v>300.25</c:v>
                </c:pt>
              </c:numCache>
            </c:numRef>
          </c:val>
          <c:smooth val="0"/>
        </c:ser>
        <c:hiLowLines>
          <c:spPr>
            <a:ln w="0">
              <a:noFill/>
            </a:ln>
          </c:spPr>
        </c:hiLowLines>
        <c:marker val="0"/>
        <c:axId val="92873316"/>
        <c:axId val="94517739"/>
      </c:lineChart>
      <c:catAx>
        <c:axId val="9287331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4517739"/>
        <c:crosses val="autoZero"/>
        <c:auto val="1"/>
        <c:lblAlgn val="ctr"/>
        <c:lblOffset val="100"/>
        <c:noMultiLvlLbl val="0"/>
      </c:catAx>
      <c:valAx>
        <c:axId val="94517739"/>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287331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17</xdr:row>
      <xdr:rowOff>0</xdr:rowOff>
    </xdr:from>
    <xdr:to>
      <xdr:col>16</xdr:col>
      <xdr:colOff>610920</xdr:colOff>
      <xdr:row>33</xdr:row>
      <xdr:rowOff>190080</xdr:rowOff>
    </xdr:to>
    <xdr:graphicFrame>
      <xdr:nvGraphicFramePr>
        <xdr:cNvPr id="0" name="Chart 1"/>
        <xdr:cNvGraphicFramePr/>
      </xdr:nvGraphicFramePr>
      <xdr:xfrm>
        <a:off x="13462560" y="4038480"/>
        <a:ext cx="7379640" cy="3457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9</xdr:row>
      <xdr:rowOff>0</xdr:rowOff>
    </xdr:from>
    <xdr:to>
      <xdr:col>15</xdr:col>
      <xdr:colOff>611280</xdr:colOff>
      <xdr:row>25</xdr:row>
      <xdr:rowOff>190080</xdr:rowOff>
    </xdr:to>
    <xdr:graphicFrame>
      <xdr:nvGraphicFramePr>
        <xdr:cNvPr id="1" name="Chart 1"/>
        <xdr:cNvGraphicFramePr/>
      </xdr:nvGraphicFramePr>
      <xdr:xfrm>
        <a:off x="12546360" y="2638440"/>
        <a:ext cx="7802640" cy="345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47</xdr:row>
      <xdr:rowOff>0</xdr:rowOff>
    </xdr:from>
    <xdr:to>
      <xdr:col>12</xdr:col>
      <xdr:colOff>915840</xdr:colOff>
      <xdr:row>62</xdr:row>
      <xdr:rowOff>190080</xdr:rowOff>
    </xdr:to>
    <xdr:graphicFrame>
      <xdr:nvGraphicFramePr>
        <xdr:cNvPr id="2" name="Chart 1"/>
        <xdr:cNvGraphicFramePr/>
      </xdr:nvGraphicFramePr>
      <xdr:xfrm>
        <a:off x="5850360" y="9810720"/>
        <a:ext cx="7329960" cy="3180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1"/>
    <col collapsed="false" customWidth="true" hidden="false" outlineLevel="0" max="5" min="2" style="0" width="17"/>
    <col collapsed="false" customWidth="true" hidden="false" outlineLevel="0" max="6" min="6" style="0" width="18"/>
    <col collapsed="false" customWidth="true" hidden="false" outlineLevel="0" max="7" min="7" style="0" width="34"/>
    <col collapsed="false" customWidth="true" hidden="false" outlineLevel="0" max="8" min="8" style="0" width="37"/>
    <col collapsed="false" customWidth="true" hidden="false" outlineLevel="0" max="9" min="9" style="0" width="3"/>
    <col collapsed="false" customWidth="true" hidden="false" outlineLevel="0" max="10" min="10" style="0" width="16"/>
    <col collapsed="false" customWidth="true" hidden="false" outlineLevel="0" max="13" min="11" style="0" width="18"/>
  </cols>
  <sheetData>
    <row r="1" customFormat="false" ht="33.75" hidden="false" customHeight="true" outlineLevel="0" collapsed="false">
      <c r="A1" s="1" t="s">
        <v>0</v>
      </c>
      <c r="B1" s="1"/>
      <c r="C1" s="1"/>
      <c r="D1" s="1"/>
      <c r="E1" s="1"/>
      <c r="F1" s="1"/>
      <c r="G1" s="1"/>
      <c r="H1" s="1"/>
      <c r="I1" s="2"/>
      <c r="J1" s="2"/>
      <c r="K1" s="2"/>
      <c r="L1" s="2"/>
      <c r="M1" s="2"/>
    </row>
    <row r="2" customFormat="false" ht="31.5" hidden="false" customHeight="true" outlineLevel="0" collapsed="false">
      <c r="A2" s="3" t="s">
        <v>1</v>
      </c>
      <c r="B2" s="3"/>
      <c r="C2" s="3"/>
      <c r="D2" s="3"/>
      <c r="E2" s="3"/>
      <c r="F2" s="3"/>
      <c r="G2" s="3"/>
      <c r="H2" s="3"/>
      <c r="I2" s="2"/>
      <c r="J2" s="2"/>
      <c r="K2" s="2"/>
      <c r="L2" s="2"/>
      <c r="M2" s="2"/>
    </row>
    <row r="3" customFormat="false" ht="25.5" hidden="false" customHeight="true" outlineLevel="0" collapsed="false">
      <c r="A3" s="3"/>
      <c r="B3" s="3"/>
      <c r="C3" s="3"/>
      <c r="D3" s="3"/>
      <c r="E3" s="3"/>
      <c r="F3" s="3"/>
      <c r="G3" s="3"/>
      <c r="H3" s="3"/>
      <c r="I3" s="2"/>
      <c r="J3" s="4" t="s">
        <v>2</v>
      </c>
      <c r="K3" s="4" t="s">
        <v>3</v>
      </c>
      <c r="L3" s="4" t="s">
        <v>4</v>
      </c>
      <c r="M3" s="4" t="s">
        <v>5</v>
      </c>
    </row>
    <row r="4" customFormat="false" ht="15" hidden="false" customHeight="true" outlineLevel="0" collapsed="false">
      <c r="A4" s="5" t="s">
        <v>6</v>
      </c>
      <c r="B4" s="5"/>
      <c r="C4" s="5"/>
      <c r="D4" s="5"/>
      <c r="E4" s="5"/>
      <c r="F4" s="5"/>
      <c r="G4" s="5"/>
      <c r="H4" s="5"/>
      <c r="I4" s="2"/>
      <c r="J4" s="2" t="str">
        <f aca="false">TEXT('Forecast 12M'!B$4,"mmm yy")</f>
        <v>Sep 26</v>
      </c>
      <c r="K4" s="6" t="n">
        <f aca="false">'Forecast 12M'!B$12</f>
        <v>0.800000000000011</v>
      </c>
      <c r="L4" s="6" t="n">
        <f aca="false">'Forecast 12M'!B$27</f>
        <v>-58.125</v>
      </c>
      <c r="M4" s="6" t="n">
        <f aca="false">'Forecast 12M'!B$42</f>
        <v>-243.875</v>
      </c>
    </row>
    <row r="5" customFormat="false" ht="15" hidden="false" customHeight="false" outlineLevel="0" collapsed="false">
      <c r="A5" s="5"/>
      <c r="B5" s="5"/>
      <c r="C5" s="5"/>
      <c r="D5" s="5"/>
      <c r="E5" s="5"/>
      <c r="F5" s="5"/>
      <c r="G5" s="5"/>
      <c r="H5" s="5"/>
      <c r="I5" s="2"/>
      <c r="J5" s="2" t="str">
        <f aca="false">TEXT('Forecast 12M'!C$4,"mmm yy")</f>
        <v>Oct 26</v>
      </c>
      <c r="K5" s="6" t="n">
        <f aca="false">'Forecast 12M'!C$12</f>
        <v>96.4</v>
      </c>
      <c r="L5" s="6" t="n">
        <f aca="false">'Forecast 12M'!C$27</f>
        <v>-23.1125</v>
      </c>
      <c r="M5" s="6" t="n">
        <f aca="false">'Forecast 12M'!C$42</f>
        <v>-394.6125</v>
      </c>
    </row>
    <row r="6" customFormat="false" ht="15" hidden="false" customHeight="false" outlineLevel="0" collapsed="false">
      <c r="A6" s="5"/>
      <c r="B6" s="5"/>
      <c r="C6" s="5"/>
      <c r="D6" s="5"/>
      <c r="E6" s="5"/>
      <c r="F6" s="5"/>
      <c r="G6" s="5"/>
      <c r="H6" s="5"/>
      <c r="I6" s="2"/>
      <c r="J6" s="2" t="str">
        <f aca="false">TEXT('Forecast 12M'!D$4,"mmm yy")</f>
        <v>Nov 26</v>
      </c>
      <c r="K6" s="6" t="n">
        <f aca="false">'Forecast 12M'!D$12</f>
        <v>286.8</v>
      </c>
      <c r="L6" s="6" t="n">
        <f aca="false">'Forecast 12M'!D$27</f>
        <v>105.0375</v>
      </c>
      <c r="M6" s="6" t="n">
        <f aca="false">'Forecast 12M'!D$42</f>
        <v>-452.2125</v>
      </c>
    </row>
    <row r="7" customFormat="false" ht="15" hidden="false" customHeight="false" outlineLevel="0" collapsed="false">
      <c r="A7" s="2"/>
      <c r="B7" s="2"/>
      <c r="C7" s="2"/>
      <c r="D7" s="2"/>
      <c r="E7" s="2"/>
      <c r="F7" s="2"/>
      <c r="G7" s="2"/>
      <c r="H7" s="2"/>
      <c r="I7" s="2"/>
      <c r="J7" s="2" t="str">
        <f aca="false">TEXT('Forecast 12M'!E$4,"mmm yy")</f>
        <v>Dec 26</v>
      </c>
      <c r="K7" s="6" t="n">
        <f aca="false">'Forecast 12M'!E$12</f>
        <v>572</v>
      </c>
      <c r="L7" s="6" t="n">
        <f aca="false">'Forecast 12M'!E$27</f>
        <v>326.325</v>
      </c>
      <c r="M7" s="6" t="n">
        <f aca="false">'Forecast 12M'!E$42</f>
        <v>-416.675</v>
      </c>
    </row>
    <row r="8" customFormat="false" ht="15" hidden="false" customHeight="false" outlineLevel="0" collapsed="false">
      <c r="A8" s="7" t="s">
        <v>7</v>
      </c>
      <c r="B8" s="7"/>
      <c r="C8" s="7" t="s">
        <v>8</v>
      </c>
      <c r="D8" s="7"/>
      <c r="E8" s="7" t="s">
        <v>9</v>
      </c>
      <c r="F8" s="7"/>
      <c r="G8" s="7" t="s">
        <v>10</v>
      </c>
      <c r="H8" s="7"/>
      <c r="I8" s="2"/>
      <c r="J8" s="2" t="str">
        <f aca="false">TEXT('Forecast 12M'!F$4,"mmm yy")</f>
        <v>Jan 27</v>
      </c>
      <c r="K8" s="6" t="n">
        <f aca="false">'Forecast 12M'!F$12</f>
        <v>952</v>
      </c>
      <c r="L8" s="6" t="n">
        <f aca="false">'Forecast 12M'!F$27</f>
        <v>626.575</v>
      </c>
      <c r="M8" s="6" t="n">
        <f aca="false">'Forecast 12M'!F$42</f>
        <v>-302.175</v>
      </c>
    </row>
    <row r="9" customFormat="false" ht="15" hidden="false" customHeight="false" outlineLevel="0" collapsed="false">
      <c r="A9" s="8" t="n">
        <f aca="false">Assumptions!B25</f>
        <v>45</v>
      </c>
      <c r="B9" s="8"/>
      <c r="C9" s="9" t="n">
        <f aca="false">'Unit Economics'!B11</f>
        <v>9.2875</v>
      </c>
      <c r="D9" s="9"/>
      <c r="E9" s="10" t="n">
        <f aca="false">'Unit Economics'!B13</f>
        <v>5</v>
      </c>
      <c r="F9" s="10"/>
      <c r="G9" s="11" t="n">
        <f aca="false">'Unit Economics'!B16</f>
        <v>18.575</v>
      </c>
      <c r="H9" s="11"/>
      <c r="I9" s="2"/>
      <c r="J9" s="2" t="str">
        <f aca="false">TEXT('Forecast 12M'!G$4,"mmm yy")</f>
        <v>Feb 27</v>
      </c>
      <c r="K9" s="6" t="n">
        <f aca="false">'Forecast 12M'!G$12</f>
        <v>1426.8</v>
      </c>
      <c r="L9" s="6" t="n">
        <f aca="false">'Forecast 12M'!G$27</f>
        <v>1019.7</v>
      </c>
      <c r="M9" s="6" t="n">
        <f aca="false">'Forecast 12M'!G$42</f>
        <v>-94.8</v>
      </c>
    </row>
    <row r="10" customFormat="false" ht="15" hidden="false" customHeight="false" outlineLevel="0" collapsed="false">
      <c r="A10" s="8"/>
      <c r="B10" s="8"/>
      <c r="C10" s="9"/>
      <c r="D10" s="9"/>
      <c r="E10" s="10"/>
      <c r="F10" s="10"/>
      <c r="G10" s="11"/>
      <c r="H10" s="11"/>
      <c r="I10" s="2"/>
      <c r="J10" s="2" t="str">
        <f aca="false">TEXT('Forecast 12M'!H$4,"mmm yy")</f>
        <v>Mar 27</v>
      </c>
      <c r="K10" s="6" t="n">
        <f aca="false">'Forecast 12M'!H$12</f>
        <v>1901.6</v>
      </c>
      <c r="L10" s="6" t="n">
        <f aca="false">'Forecast 12M'!H$27</f>
        <v>1505.7</v>
      </c>
      <c r="M10" s="6" t="n">
        <f aca="false">'Forecast 12M'!H$42</f>
        <v>205.45</v>
      </c>
    </row>
    <row r="11" customFormat="false" ht="15" hidden="false" customHeight="false" outlineLevel="0" collapsed="false">
      <c r="A11" s="2"/>
      <c r="B11" s="2"/>
      <c r="C11" s="2"/>
      <c r="D11" s="2"/>
      <c r="E11" s="2"/>
      <c r="F11" s="2"/>
      <c r="G11" s="2"/>
      <c r="H11" s="2"/>
      <c r="I11" s="2"/>
      <c r="J11" s="2" t="str">
        <f aca="false">TEXT('Forecast 12M'!I$4,"mmm yy")</f>
        <v>Apr 27</v>
      </c>
      <c r="K11" s="6" t="n">
        <f aca="false">'Forecast 12M'!I$12</f>
        <v>2376.4</v>
      </c>
      <c r="L11" s="6" t="n">
        <f aca="false">'Forecast 12M'!I$27</f>
        <v>1991.7</v>
      </c>
      <c r="M11" s="6" t="n">
        <f aca="false">'Forecast 12M'!I$42</f>
        <v>505.7</v>
      </c>
    </row>
    <row r="12" customFormat="false" ht="15" hidden="false" customHeight="false" outlineLevel="0" collapsed="false">
      <c r="A12" s="2"/>
      <c r="B12" s="2"/>
      <c r="C12" s="2"/>
      <c r="D12" s="2"/>
      <c r="E12" s="2"/>
      <c r="F12" s="2"/>
      <c r="G12" s="2"/>
      <c r="H12" s="2"/>
      <c r="I12" s="2"/>
      <c r="J12" s="2" t="str">
        <f aca="false">TEXT('Forecast 12M'!J$4,"mmm yy")</f>
        <v>May 27</v>
      </c>
      <c r="K12" s="6" t="n">
        <f aca="false">'Forecast 12M'!J$12</f>
        <v>2851.2</v>
      </c>
      <c r="L12" s="6" t="n">
        <f aca="false">'Forecast 12M'!J$27</f>
        <v>2477.7</v>
      </c>
      <c r="M12" s="6" t="n">
        <f aca="false">'Forecast 12M'!J$42</f>
        <v>805.95</v>
      </c>
    </row>
    <row r="13" customFormat="false" ht="21.75" hidden="false" customHeight="true" outlineLevel="0" collapsed="false">
      <c r="A13" s="12" t="s">
        <v>11</v>
      </c>
      <c r="B13" s="12"/>
      <c r="C13" s="12"/>
      <c r="D13" s="12"/>
      <c r="E13" s="12"/>
      <c r="F13" s="12"/>
      <c r="G13" s="12"/>
      <c r="H13" s="12"/>
      <c r="I13" s="2"/>
      <c r="J13" s="2" t="str">
        <f aca="false">TEXT('Forecast 12M'!K$4,"mmm yy")</f>
        <v>Jun 27</v>
      </c>
      <c r="K13" s="6" t="n">
        <f aca="false">'Forecast 12M'!K$12</f>
        <v>3326</v>
      </c>
      <c r="L13" s="6" t="n">
        <f aca="false">'Forecast 12M'!K$27</f>
        <v>2963.7</v>
      </c>
      <c r="M13" s="6" t="n">
        <f aca="false">'Forecast 12M'!K$42</f>
        <v>1106.2</v>
      </c>
    </row>
    <row r="14" customFormat="false" ht="25.5" hidden="false" customHeight="true" outlineLevel="0" collapsed="false">
      <c r="A14" s="4" t="s">
        <v>12</v>
      </c>
      <c r="B14" s="4" t="s">
        <v>13</v>
      </c>
      <c r="C14" s="4" t="s">
        <v>14</v>
      </c>
      <c r="D14" s="4" t="s">
        <v>15</v>
      </c>
      <c r="E14" s="4" t="s">
        <v>16</v>
      </c>
      <c r="F14" s="4" t="s">
        <v>17</v>
      </c>
      <c r="G14" s="4" t="s">
        <v>18</v>
      </c>
      <c r="H14" s="4" t="s">
        <v>19</v>
      </c>
      <c r="I14" s="2"/>
      <c r="J14" s="2" t="str">
        <f aca="false">TEXT('Forecast 12M'!L$4,"mmm yy")</f>
        <v>Jul 27</v>
      </c>
      <c r="K14" s="6" t="n">
        <f aca="false">'Forecast 12M'!L$12</f>
        <v>3800.8</v>
      </c>
      <c r="L14" s="6" t="n">
        <f aca="false">'Forecast 12M'!L$27</f>
        <v>3449.7</v>
      </c>
      <c r="M14" s="6" t="n">
        <f aca="false">'Forecast 12M'!L$42</f>
        <v>1406.45</v>
      </c>
    </row>
    <row r="15" customFormat="false" ht="15" hidden="false" customHeight="false" outlineLevel="0" collapsed="false">
      <c r="A15" s="13" t="s">
        <v>20</v>
      </c>
      <c r="B15" s="14" t="n">
        <v>14.99</v>
      </c>
      <c r="C15" s="14" t="n">
        <f aca="false">Assumptions!B13</f>
        <v>10</v>
      </c>
      <c r="D15" s="14" t="n">
        <f aca="false">Assumptions!B13</f>
        <v>10</v>
      </c>
      <c r="E15" s="14" t="n">
        <f aca="false">C15-B15</f>
        <v>-4.99</v>
      </c>
      <c r="F15" s="13" t="s">
        <v>21</v>
      </c>
      <c r="G15" s="13" t="s">
        <v>22</v>
      </c>
      <c r="H15" s="13" t="s">
        <v>23</v>
      </c>
      <c r="I15" s="2"/>
      <c r="J15" s="2" t="str">
        <f aca="false">TEXT('Forecast 12M'!M$4,"mmm yy")</f>
        <v>Aug 27</v>
      </c>
      <c r="K15" s="6" t="n">
        <f aca="false">'Forecast 12M'!M$12</f>
        <v>4275.6</v>
      </c>
      <c r="L15" s="6" t="n">
        <f aca="false">'Forecast 12M'!M$27</f>
        <v>3935.7</v>
      </c>
      <c r="M15" s="6" t="n">
        <f aca="false">'Forecast 12M'!M$42</f>
        <v>1706.7</v>
      </c>
    </row>
    <row r="16" customFormat="false" ht="15" hidden="false" customHeight="false" outlineLevel="0" collapsed="false">
      <c r="A16" s="15" t="s">
        <v>24</v>
      </c>
      <c r="B16" s="16" t="n">
        <v>94</v>
      </c>
      <c r="C16" s="16" t="n">
        <f aca="false">Assumptions!B25</f>
        <v>45</v>
      </c>
      <c r="D16" s="16" t="n">
        <f aca="false">Assumptions!B26</f>
        <v>71</v>
      </c>
      <c r="E16" s="16" t="n">
        <f aca="false">C16-B16</f>
        <v>-49</v>
      </c>
      <c r="F16" s="15" t="s">
        <v>25</v>
      </c>
      <c r="G16" s="15" t="s">
        <v>26</v>
      </c>
      <c r="H16" s="15" t="s">
        <v>27</v>
      </c>
      <c r="I16" s="2"/>
      <c r="J16" s="2"/>
      <c r="K16" s="2"/>
      <c r="L16" s="2"/>
      <c r="M16" s="2"/>
    </row>
    <row r="17" customFormat="false" ht="15" hidden="false" customHeight="false" outlineLevel="0" collapsed="false">
      <c r="A17" s="15" t="s">
        <v>28</v>
      </c>
      <c r="B17" s="16" t="n">
        <v>5.51</v>
      </c>
      <c r="C17" s="16" t="n">
        <f aca="false">Assumptions!B13-'Unit Economics'!B11</f>
        <v>0.7125</v>
      </c>
      <c r="D17" s="16" t="n">
        <f aca="false">Assumptions!B13-'Unit Economics'!B11</f>
        <v>0.7125</v>
      </c>
      <c r="E17" s="16" t="n">
        <f aca="false">C17-B17</f>
        <v>-4.7975</v>
      </c>
      <c r="F17" s="15" t="s">
        <v>25</v>
      </c>
      <c r="G17" s="15" t="s">
        <v>29</v>
      </c>
      <c r="H17" s="15" t="s">
        <v>30</v>
      </c>
      <c r="I17" s="2"/>
      <c r="J17" s="2"/>
      <c r="K17" s="2"/>
      <c r="L17" s="2"/>
      <c r="M17" s="2"/>
    </row>
    <row r="18" customFormat="false" ht="15" hidden="false" customHeight="false" outlineLevel="0" collapsed="false">
      <c r="A18" s="15" t="s">
        <v>8</v>
      </c>
      <c r="B18" s="16" t="n">
        <v>9.48</v>
      </c>
      <c r="C18" s="16" t="n">
        <f aca="false">'Unit Economics'!B11</f>
        <v>9.2875</v>
      </c>
      <c r="D18" s="16" t="n">
        <f aca="false">'Unit Economics'!B11</f>
        <v>9.2875</v>
      </c>
      <c r="E18" s="16" t="n">
        <f aca="false">C18-B18</f>
        <v>-0.192500000000001</v>
      </c>
      <c r="F18" s="15" t="s">
        <v>31</v>
      </c>
      <c r="G18" s="15" t="s">
        <v>32</v>
      </c>
      <c r="H18" s="15" t="s">
        <v>33</v>
      </c>
      <c r="I18" s="2"/>
      <c r="J18" s="2"/>
      <c r="K18" s="2"/>
      <c r="L18" s="2"/>
      <c r="M18" s="2"/>
    </row>
    <row r="19" customFormat="false" ht="15" hidden="false" customHeight="false" outlineLevel="0" collapsed="false">
      <c r="A19" s="15" t="s">
        <v>34</v>
      </c>
      <c r="B19" s="16" t="n">
        <v>56.88</v>
      </c>
      <c r="C19" s="16" t="n">
        <f aca="false">'Unit Economics'!B15</f>
        <v>55.725</v>
      </c>
      <c r="D19" s="16" t="n">
        <f aca="false">'Unit Economics'!B15</f>
        <v>55.725</v>
      </c>
      <c r="E19" s="16" t="n">
        <f aca="false">C19-B19</f>
        <v>-1.15500000000001</v>
      </c>
      <c r="F19" s="15" t="s">
        <v>35</v>
      </c>
      <c r="G19" s="15" t="s">
        <v>36</v>
      </c>
      <c r="H19" s="15" t="s">
        <v>37</v>
      </c>
      <c r="I19" s="2"/>
      <c r="J19" s="2"/>
      <c r="K19" s="2"/>
      <c r="L19" s="2"/>
      <c r="M19" s="2"/>
    </row>
    <row r="20" customFormat="false" ht="15" hidden="false" customHeight="false" outlineLevel="0" collapsed="false">
      <c r="A20" s="15" t="s">
        <v>10</v>
      </c>
      <c r="B20" s="16" t="n">
        <v>18.96</v>
      </c>
      <c r="C20" s="16" t="n">
        <f aca="false">'Unit Economics'!B16</f>
        <v>18.575</v>
      </c>
      <c r="D20" s="16" t="n">
        <f aca="false">'Unit Economics'!B16</f>
        <v>18.575</v>
      </c>
      <c r="E20" s="16" t="n">
        <f aca="false">C20-B20</f>
        <v>-0.385000000000002</v>
      </c>
      <c r="F20" s="15" t="s">
        <v>31</v>
      </c>
      <c r="G20" s="15" t="s">
        <v>38</v>
      </c>
      <c r="H20" s="15" t="s">
        <v>39</v>
      </c>
      <c r="I20" s="2"/>
      <c r="J20" s="2"/>
      <c r="K20" s="2"/>
      <c r="L20" s="2"/>
      <c r="M20" s="2"/>
    </row>
    <row r="21" customFormat="false" ht="15" hidden="false" customHeight="false" outlineLevel="0" collapsed="false">
      <c r="A21" s="17" t="s">
        <v>40</v>
      </c>
      <c r="B21" s="18" t="n">
        <v>10</v>
      </c>
      <c r="C21" s="18" t="n">
        <f aca="false">'Unit Economics'!B13</f>
        <v>5</v>
      </c>
      <c r="D21" s="18" t="n">
        <f aca="false">'Unit Economics'!B14</f>
        <v>8</v>
      </c>
      <c r="E21" s="18" t="n">
        <f aca="false">C21-B21</f>
        <v>-5</v>
      </c>
      <c r="F21" s="17" t="s">
        <v>25</v>
      </c>
      <c r="G21" s="17" t="s">
        <v>41</v>
      </c>
      <c r="H21" s="17" t="s">
        <v>42</v>
      </c>
      <c r="I21" s="2"/>
      <c r="J21" s="2"/>
      <c r="K21" s="2"/>
      <c r="L21" s="2"/>
      <c r="M21" s="2"/>
    </row>
    <row r="22" customFormat="false" ht="15" hidden="false" customHeight="false" outlineLevel="0" collapsed="false">
      <c r="A22" s="2"/>
      <c r="B22" s="2"/>
      <c r="C22" s="2"/>
      <c r="D22" s="2"/>
      <c r="E22" s="2"/>
      <c r="F22" s="2"/>
      <c r="G22" s="2"/>
      <c r="H22" s="2"/>
      <c r="I22" s="2"/>
      <c r="J22" s="2"/>
      <c r="K22" s="2"/>
      <c r="L22" s="2"/>
      <c r="M22" s="2"/>
    </row>
    <row r="23" customFormat="false" ht="15" hidden="false" customHeight="false" outlineLevel="0" collapsed="false">
      <c r="A23" s="2"/>
      <c r="B23" s="2"/>
      <c r="C23" s="2"/>
      <c r="D23" s="2"/>
      <c r="E23" s="2"/>
      <c r="F23" s="2"/>
      <c r="G23" s="2"/>
      <c r="H23" s="2"/>
      <c r="I23" s="2"/>
      <c r="J23" s="2"/>
      <c r="K23" s="2"/>
      <c r="L23" s="2"/>
      <c r="M23" s="2"/>
    </row>
    <row r="24" customFormat="false" ht="21.75" hidden="false" customHeight="true" outlineLevel="0" collapsed="false">
      <c r="A24" s="12" t="s">
        <v>43</v>
      </c>
      <c r="B24" s="12"/>
      <c r="C24" s="12"/>
      <c r="D24" s="12"/>
      <c r="E24" s="12"/>
      <c r="F24" s="12"/>
      <c r="G24" s="12"/>
      <c r="H24" s="12"/>
      <c r="I24" s="2"/>
      <c r="J24" s="2"/>
      <c r="K24" s="2"/>
      <c r="L24" s="2"/>
      <c r="M24" s="2"/>
    </row>
    <row r="25" customFormat="false" ht="25.5" hidden="false" customHeight="true" outlineLevel="0" collapsed="false">
      <c r="A25" s="4" t="s">
        <v>44</v>
      </c>
      <c r="B25" s="4" t="s">
        <v>45</v>
      </c>
      <c r="C25" s="4" t="s">
        <v>46</v>
      </c>
      <c r="D25" s="4" t="s">
        <v>47</v>
      </c>
      <c r="E25" s="2"/>
      <c r="F25" s="19" t="s">
        <v>48</v>
      </c>
      <c r="G25" s="19"/>
      <c r="H25" s="19"/>
      <c r="I25" s="2"/>
      <c r="J25" s="2"/>
      <c r="K25" s="2"/>
      <c r="L25" s="2"/>
      <c r="M25" s="2"/>
    </row>
    <row r="26" customFormat="false" ht="15" hidden="false" customHeight="false" outlineLevel="0" collapsed="false">
      <c r="A26" s="13" t="s">
        <v>49</v>
      </c>
      <c r="B26" s="13" t="s">
        <v>50</v>
      </c>
      <c r="C26" s="13" t="s">
        <v>50</v>
      </c>
      <c r="D26" s="13" t="s">
        <v>51</v>
      </c>
      <c r="E26" s="2"/>
      <c r="F26" s="19"/>
      <c r="G26" s="19"/>
      <c r="H26" s="19"/>
      <c r="I26" s="2"/>
      <c r="J26" s="2"/>
      <c r="K26" s="2"/>
      <c r="L26" s="2"/>
      <c r="M26" s="2"/>
    </row>
    <row r="27" customFormat="false" ht="15" hidden="false" customHeight="false" outlineLevel="0" collapsed="false">
      <c r="A27" s="15" t="s">
        <v>4</v>
      </c>
      <c r="B27" s="15" t="str">
        <f aca="false">"Month "&amp;MATCH("Yes",'Forecast 12M'!B28:M28,0)</f>
        <v>Month 2</v>
      </c>
      <c r="C27" s="15" t="str">
        <f aca="false">"Month "&amp;MATCH("Yes",'Forecast 12M'!B29:M29,0)</f>
        <v>Month 3</v>
      </c>
      <c r="D27" s="15" t="s">
        <v>52</v>
      </c>
      <c r="E27" s="2"/>
      <c r="F27" s="19"/>
      <c r="G27" s="19"/>
      <c r="H27" s="19"/>
      <c r="I27" s="2"/>
      <c r="J27" s="2"/>
      <c r="K27" s="2"/>
      <c r="L27" s="2"/>
      <c r="M27" s="2"/>
    </row>
    <row r="28" customFormat="false" ht="15" hidden="false" customHeight="false" outlineLevel="0" collapsed="false">
      <c r="A28" s="17" t="s">
        <v>53</v>
      </c>
      <c r="B28" s="17" t="str">
        <f aca="false">"Month "&amp;MATCH("Yes",'Forecast 12M'!B43:M43,0)</f>
        <v>Month 4</v>
      </c>
      <c r="C28" s="17" t="str">
        <f aca="false">"Month "&amp;MATCH("Yes",'Forecast 12M'!B44:M44,0)</f>
        <v>Month 7</v>
      </c>
      <c r="D28" s="17" t="s">
        <v>54</v>
      </c>
      <c r="E28" s="2"/>
      <c r="F28" s="19"/>
      <c r="G28" s="19"/>
      <c r="H28" s="19"/>
      <c r="I28" s="2"/>
      <c r="J28" s="2"/>
      <c r="K28" s="2"/>
      <c r="L28" s="2"/>
      <c r="M28" s="2"/>
    </row>
    <row r="29" customFormat="false" ht="15" hidden="false" customHeight="false" outlineLevel="0" collapsed="false">
      <c r="A29" s="2"/>
      <c r="B29" s="2"/>
      <c r="C29" s="2"/>
      <c r="D29" s="2"/>
      <c r="E29" s="2"/>
      <c r="F29" s="2"/>
      <c r="G29" s="2"/>
      <c r="H29" s="2"/>
      <c r="I29" s="2"/>
      <c r="J29" s="2"/>
      <c r="K29" s="2"/>
      <c r="L29" s="2"/>
      <c r="M29" s="2"/>
    </row>
    <row r="30" customFormat="false" ht="15" hidden="false" customHeight="false" outlineLevel="0" collapsed="false">
      <c r="A30" s="2"/>
      <c r="B30" s="2"/>
      <c r="C30" s="2"/>
      <c r="D30" s="2"/>
      <c r="E30" s="2"/>
      <c r="F30" s="2"/>
      <c r="G30" s="2"/>
      <c r="H30" s="2"/>
      <c r="I30" s="2"/>
      <c r="J30" s="2"/>
      <c r="K30" s="2"/>
      <c r="L30" s="2"/>
      <c r="M30" s="2"/>
    </row>
    <row r="31" customFormat="false" ht="15" hidden="false" customHeight="false" outlineLevel="0" collapsed="false">
      <c r="A31" s="2"/>
      <c r="B31" s="2"/>
      <c r="C31" s="2"/>
      <c r="D31" s="2"/>
      <c r="E31" s="2"/>
      <c r="F31" s="2"/>
      <c r="G31" s="2"/>
      <c r="H31" s="2"/>
      <c r="I31" s="2"/>
      <c r="J31" s="2"/>
      <c r="K31" s="2"/>
      <c r="L31" s="2"/>
      <c r="M31" s="2"/>
    </row>
    <row r="32" customFormat="false" ht="15" hidden="false" customHeight="true" outlineLevel="0" collapsed="false">
      <c r="A32" s="20" t="s">
        <v>55</v>
      </c>
      <c r="B32" s="20"/>
      <c r="C32" s="20"/>
      <c r="D32" s="20"/>
      <c r="E32" s="20"/>
      <c r="F32" s="20"/>
      <c r="G32" s="20"/>
      <c r="H32" s="20"/>
      <c r="I32" s="2"/>
      <c r="J32" s="2"/>
      <c r="K32" s="2"/>
      <c r="L32" s="2"/>
      <c r="M32" s="2"/>
    </row>
    <row r="33" customFormat="false" ht="15" hidden="false" customHeight="false" outlineLevel="0" collapsed="false">
      <c r="A33" s="20"/>
      <c r="B33" s="20"/>
      <c r="C33" s="20"/>
      <c r="D33" s="20"/>
      <c r="E33" s="20"/>
      <c r="F33" s="20"/>
      <c r="G33" s="20"/>
      <c r="H33" s="20"/>
      <c r="I33" s="2"/>
      <c r="J33" s="2"/>
      <c r="K33" s="2"/>
      <c r="L33" s="2"/>
      <c r="M33" s="2"/>
    </row>
    <row r="34" customFormat="false" ht="15" hidden="false" customHeight="false" outlineLevel="0" collapsed="false">
      <c r="A34" s="20"/>
      <c r="B34" s="20"/>
      <c r="C34" s="20"/>
      <c r="D34" s="20"/>
      <c r="E34" s="20"/>
      <c r="F34" s="20"/>
      <c r="G34" s="20"/>
      <c r="H34" s="20"/>
      <c r="I34" s="2"/>
      <c r="J34" s="2"/>
      <c r="K34" s="2"/>
      <c r="L34" s="2"/>
      <c r="M34" s="2"/>
    </row>
  </sheetData>
  <mergeCells count="15">
    <mergeCell ref="A1:H1"/>
    <mergeCell ref="A2:H3"/>
    <mergeCell ref="A4:H6"/>
    <mergeCell ref="A8:B8"/>
    <mergeCell ref="C8:D8"/>
    <mergeCell ref="E8:F8"/>
    <mergeCell ref="G8:H8"/>
    <mergeCell ref="A9:B10"/>
    <mergeCell ref="C9:D10"/>
    <mergeCell ref="E9:F10"/>
    <mergeCell ref="G9:H10"/>
    <mergeCell ref="A13:H13"/>
    <mergeCell ref="A24:H24"/>
    <mergeCell ref="F25:H28"/>
    <mergeCell ref="A32:H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3"/>
    <col collapsed="false" customWidth="true" hidden="false" outlineLevel="0" max="3" min="2" style="0" width="18"/>
    <col collapsed="false" customWidth="true" hidden="false" outlineLevel="0" max="4" min="4" style="0" width="17"/>
    <col collapsed="false" customWidth="true" hidden="false" outlineLevel="0" max="5" min="5" style="0" width="45"/>
    <col collapsed="false" customWidth="true" hidden="false" outlineLevel="0" max="6" min="6" style="0" width="35"/>
  </cols>
  <sheetData>
    <row r="1" customFormat="false" ht="33.75" hidden="false" customHeight="true" outlineLevel="0" collapsed="false">
      <c r="A1" s="1" t="s">
        <v>56</v>
      </c>
      <c r="B1" s="1"/>
      <c r="C1" s="1"/>
      <c r="D1" s="1"/>
      <c r="E1" s="1"/>
      <c r="F1" s="1"/>
    </row>
    <row r="2" customFormat="false" ht="31.5" hidden="false" customHeight="true" outlineLevel="0" collapsed="false">
      <c r="A2" s="3" t="s">
        <v>57</v>
      </c>
      <c r="B2" s="3"/>
      <c r="C2" s="3"/>
      <c r="D2" s="3"/>
      <c r="E2" s="3"/>
      <c r="F2" s="3"/>
    </row>
    <row r="3" customFormat="false" ht="31.5" hidden="false" customHeight="true" outlineLevel="0" collapsed="false">
      <c r="A3" s="3"/>
      <c r="B3" s="3"/>
      <c r="C3" s="3"/>
      <c r="D3" s="3"/>
      <c r="E3" s="3"/>
      <c r="F3" s="3"/>
    </row>
    <row r="4" customFormat="false" ht="21.75" hidden="false" customHeight="true" outlineLevel="0" collapsed="false">
      <c r="A4" s="12" t="s">
        <v>58</v>
      </c>
      <c r="B4" s="12"/>
      <c r="C4" s="12"/>
      <c r="D4" s="12"/>
      <c r="E4" s="12"/>
      <c r="F4" s="12"/>
    </row>
    <row r="5" customFormat="false" ht="25.5" hidden="false" customHeight="true" outlineLevel="0" collapsed="false">
      <c r="A5" s="4" t="s">
        <v>59</v>
      </c>
      <c r="B5" s="4" t="s">
        <v>60</v>
      </c>
      <c r="C5" s="4" t="s">
        <v>61</v>
      </c>
      <c r="D5" s="4" t="s">
        <v>62</v>
      </c>
      <c r="E5" s="4" t="s">
        <v>63</v>
      </c>
      <c r="F5" s="4" t="s">
        <v>64</v>
      </c>
    </row>
    <row r="6" customFormat="false" ht="15" hidden="false" customHeight="false" outlineLevel="0" collapsed="false">
      <c r="A6" s="13" t="s">
        <v>65</v>
      </c>
      <c r="B6" s="21" t="n">
        <v>46266</v>
      </c>
      <c r="C6" s="13" t="s">
        <v>66</v>
      </c>
      <c r="D6" s="13" t="s">
        <v>67</v>
      </c>
      <c r="E6" s="13" t="s">
        <v>68</v>
      </c>
      <c r="F6" s="13" t="s">
        <v>69</v>
      </c>
    </row>
    <row r="7" customFormat="false" ht="15" hidden="false" customHeight="false" outlineLevel="0" collapsed="false">
      <c r="A7" s="15" t="s">
        <v>70</v>
      </c>
      <c r="B7" s="22" t="n">
        <f aca="false">COLUMNS('Forecast 12M'!B3:M3)</f>
        <v>12</v>
      </c>
      <c r="C7" s="15" t="s">
        <v>71</v>
      </c>
      <c r="D7" s="15" t="s">
        <v>72</v>
      </c>
      <c r="E7" s="15" t="s">
        <v>73</v>
      </c>
      <c r="F7" s="15" t="s">
        <v>74</v>
      </c>
    </row>
    <row r="8" customFormat="false" ht="15" hidden="false" customHeight="false" outlineLevel="0" collapsed="false">
      <c r="A8" s="15" t="s">
        <v>75</v>
      </c>
      <c r="B8" s="23" t="n">
        <v>0.02</v>
      </c>
      <c r="C8" s="15" t="s">
        <v>76</v>
      </c>
      <c r="D8" s="15" t="s">
        <v>67</v>
      </c>
      <c r="E8" s="15" t="s">
        <v>77</v>
      </c>
      <c r="F8" s="15" t="s">
        <v>78</v>
      </c>
    </row>
    <row r="9" customFormat="false" ht="15" hidden="false" customHeight="false" outlineLevel="0" collapsed="false">
      <c r="A9" s="15" t="s">
        <v>79</v>
      </c>
      <c r="B9" s="24" t="n">
        <v>500</v>
      </c>
      <c r="C9" s="15" t="s">
        <v>80</v>
      </c>
      <c r="D9" s="15" t="s">
        <v>67</v>
      </c>
      <c r="E9" s="15" t="s">
        <v>81</v>
      </c>
      <c r="F9" s="15" t="s">
        <v>82</v>
      </c>
    </row>
    <row r="10" customFormat="false" ht="15" hidden="false" customHeight="false" outlineLevel="0" collapsed="false">
      <c r="A10" s="15" t="s">
        <v>83</v>
      </c>
      <c r="B10" s="22" t="n">
        <f aca="false">B8*B9</f>
        <v>10</v>
      </c>
      <c r="C10" s="15" t="s">
        <v>80</v>
      </c>
      <c r="D10" s="15" t="s">
        <v>72</v>
      </c>
      <c r="E10" s="15" t="s">
        <v>84</v>
      </c>
      <c r="F10" s="15" t="s">
        <v>85</v>
      </c>
    </row>
    <row r="11" customFormat="false" ht="15" hidden="false" customHeight="false" outlineLevel="0" collapsed="false">
      <c r="A11" s="15" t="s">
        <v>86</v>
      </c>
      <c r="B11" s="24" t="n">
        <v>6</v>
      </c>
      <c r="C11" s="15" t="s">
        <v>71</v>
      </c>
      <c r="D11" s="15" t="s">
        <v>67</v>
      </c>
      <c r="E11" s="15" t="s">
        <v>77</v>
      </c>
      <c r="F11" s="15" t="s">
        <v>87</v>
      </c>
    </row>
    <row r="12" customFormat="false" ht="15" hidden="false" customHeight="false" outlineLevel="0" collapsed="false">
      <c r="A12" s="15" t="s">
        <v>88</v>
      </c>
      <c r="B12" s="24" t="n">
        <v>1</v>
      </c>
      <c r="C12" s="15" t="s">
        <v>71</v>
      </c>
      <c r="D12" s="15" t="s">
        <v>67</v>
      </c>
      <c r="E12" s="15" t="s">
        <v>89</v>
      </c>
      <c r="F12" s="15" t="s">
        <v>90</v>
      </c>
    </row>
    <row r="13" customFormat="false" ht="15" hidden="false" customHeight="false" outlineLevel="0" collapsed="false">
      <c r="A13" s="15" t="s">
        <v>20</v>
      </c>
      <c r="B13" s="25" t="n">
        <v>10</v>
      </c>
      <c r="C13" s="15" t="s">
        <v>91</v>
      </c>
      <c r="D13" s="15" t="s">
        <v>67</v>
      </c>
      <c r="E13" s="15" t="s">
        <v>92</v>
      </c>
      <c r="F13" s="15" t="s">
        <v>93</v>
      </c>
    </row>
    <row r="14" customFormat="false" ht="15" hidden="false" customHeight="false" outlineLevel="0" collapsed="false">
      <c r="A14" s="15" t="s">
        <v>94</v>
      </c>
      <c r="B14" s="24" t="n">
        <v>10</v>
      </c>
      <c r="C14" s="15" t="s">
        <v>95</v>
      </c>
      <c r="D14" s="15" t="s">
        <v>67</v>
      </c>
      <c r="E14" s="15" t="s">
        <v>96</v>
      </c>
      <c r="F14" s="15" t="s">
        <v>97</v>
      </c>
    </row>
    <row r="15" customFormat="false" ht="15" hidden="false" customHeight="false" outlineLevel="0" collapsed="false">
      <c r="A15" s="15" t="s">
        <v>98</v>
      </c>
      <c r="B15" s="24" t="n">
        <v>2500</v>
      </c>
      <c r="C15" s="15" t="s">
        <v>99</v>
      </c>
      <c r="D15" s="15" t="s">
        <v>67</v>
      </c>
      <c r="E15" s="15" t="s">
        <v>100</v>
      </c>
      <c r="F15" s="15" t="s">
        <v>101</v>
      </c>
    </row>
    <row r="16" customFormat="false" ht="15" hidden="false" customHeight="false" outlineLevel="0" collapsed="false">
      <c r="A16" s="15" t="s">
        <v>102</v>
      </c>
      <c r="B16" s="24" t="n">
        <v>200</v>
      </c>
      <c r="C16" s="15" t="s">
        <v>99</v>
      </c>
      <c r="D16" s="15" t="s">
        <v>67</v>
      </c>
      <c r="E16" s="15" t="s">
        <v>103</v>
      </c>
      <c r="F16" s="15" t="s">
        <v>104</v>
      </c>
    </row>
    <row r="17" customFormat="false" ht="15" hidden="false" customHeight="false" outlineLevel="0" collapsed="false">
      <c r="A17" s="15" t="s">
        <v>105</v>
      </c>
      <c r="B17" s="23" t="n">
        <v>0.029</v>
      </c>
      <c r="C17" s="15" t="s">
        <v>106</v>
      </c>
      <c r="D17" s="15" t="s">
        <v>107</v>
      </c>
      <c r="E17" s="15" t="s">
        <v>108</v>
      </c>
      <c r="F17" s="15" t="s">
        <v>109</v>
      </c>
    </row>
    <row r="18" customFormat="false" ht="15" hidden="false" customHeight="false" outlineLevel="0" collapsed="false">
      <c r="A18" s="15" t="s">
        <v>110</v>
      </c>
      <c r="B18" s="25" t="n">
        <v>0.3</v>
      </c>
      <c r="C18" s="15" t="s">
        <v>111</v>
      </c>
      <c r="D18" s="15" t="s">
        <v>107</v>
      </c>
      <c r="E18" s="15" t="s">
        <v>108</v>
      </c>
      <c r="F18" s="15" t="s">
        <v>112</v>
      </c>
    </row>
    <row r="19" customFormat="false" ht="15" hidden="false" customHeight="false" outlineLevel="0" collapsed="false">
      <c r="A19" s="15" t="s">
        <v>113</v>
      </c>
      <c r="B19" s="23" t="n">
        <v>0.007</v>
      </c>
      <c r="C19" s="15" t="s">
        <v>114</v>
      </c>
      <c r="D19" s="15" t="s">
        <v>107</v>
      </c>
      <c r="E19" s="15" t="s">
        <v>115</v>
      </c>
      <c r="F19" s="15"/>
    </row>
    <row r="20" customFormat="false" ht="15" hidden="false" customHeight="false" outlineLevel="0" collapsed="false">
      <c r="A20" s="15" t="s">
        <v>116</v>
      </c>
      <c r="B20" s="25" t="n">
        <v>0.75</v>
      </c>
      <c r="C20" s="15" t="s">
        <v>117</v>
      </c>
      <c r="D20" s="15" t="s">
        <v>107</v>
      </c>
      <c r="E20" s="15" t="s">
        <v>118</v>
      </c>
      <c r="F20" s="15"/>
    </row>
    <row r="21" customFormat="false" ht="15" hidden="false" customHeight="false" outlineLevel="0" collapsed="false">
      <c r="A21" s="15" t="s">
        <v>119</v>
      </c>
      <c r="B21" s="25" t="n">
        <v>3.75</v>
      </c>
      <c r="C21" s="15" t="s">
        <v>117</v>
      </c>
      <c r="D21" s="15" t="s">
        <v>107</v>
      </c>
      <c r="E21" s="15" t="s">
        <v>120</v>
      </c>
      <c r="F21" s="15"/>
    </row>
    <row r="22" customFormat="false" ht="15" hidden="false" customHeight="false" outlineLevel="0" collapsed="false">
      <c r="A22" s="15" t="s">
        <v>121</v>
      </c>
      <c r="B22" s="25" t="n">
        <v>1.5</v>
      </c>
      <c r="C22" s="15" t="s">
        <v>117</v>
      </c>
      <c r="D22" s="15" t="s">
        <v>107</v>
      </c>
      <c r="E22" s="15" t="s">
        <v>122</v>
      </c>
      <c r="F22" s="15"/>
    </row>
    <row r="23" customFormat="false" ht="15" hidden="false" customHeight="false" outlineLevel="0" collapsed="false">
      <c r="A23" s="15" t="s">
        <v>123</v>
      </c>
      <c r="B23" s="25" t="n">
        <v>7.5</v>
      </c>
      <c r="C23" s="15" t="s">
        <v>117</v>
      </c>
      <c r="D23" s="15" t="s">
        <v>107</v>
      </c>
      <c r="E23" s="15" t="s">
        <v>124</v>
      </c>
      <c r="F23" s="15"/>
    </row>
    <row r="24" customFormat="false" ht="15" hidden="false" customHeight="false" outlineLevel="0" collapsed="false">
      <c r="A24" s="15" t="s">
        <v>125</v>
      </c>
      <c r="B24" s="26" t="n">
        <v>46388</v>
      </c>
      <c r="C24" s="15" t="s">
        <v>126</v>
      </c>
      <c r="D24" s="15" t="s">
        <v>107</v>
      </c>
      <c r="E24" s="15" t="s">
        <v>127</v>
      </c>
      <c r="F24" s="15"/>
    </row>
    <row r="25" customFormat="false" ht="15" hidden="false" customHeight="false" outlineLevel="0" collapsed="false">
      <c r="A25" s="15" t="s">
        <v>128</v>
      </c>
      <c r="B25" s="27" t="n">
        <f aca="false">SUM('Stack Comparison'!C7:C17)</f>
        <v>45</v>
      </c>
      <c r="C25" s="15" t="s">
        <v>129</v>
      </c>
      <c r="D25" s="15" t="s">
        <v>72</v>
      </c>
      <c r="E25" s="15" t="s">
        <v>130</v>
      </c>
      <c r="F25" s="15" t="s">
        <v>131</v>
      </c>
    </row>
    <row r="26" customFormat="false" ht="15" hidden="false" customHeight="false" outlineLevel="0" collapsed="false">
      <c r="A26" s="15" t="s">
        <v>132</v>
      </c>
      <c r="B26" s="27" t="n">
        <f aca="false">SUM('Stack Comparison'!D7:D17)</f>
        <v>71</v>
      </c>
      <c r="C26" s="15" t="s">
        <v>129</v>
      </c>
      <c r="D26" s="15" t="s">
        <v>72</v>
      </c>
      <c r="E26" s="15" t="s">
        <v>133</v>
      </c>
      <c r="F26" s="15" t="s">
        <v>134</v>
      </c>
    </row>
    <row r="27" customFormat="false" ht="15" hidden="false" customHeight="false" outlineLevel="0" collapsed="false">
      <c r="A27" s="15" t="s">
        <v>135</v>
      </c>
      <c r="B27" s="24" t="s">
        <v>136</v>
      </c>
      <c r="C27" s="15" t="s">
        <v>137</v>
      </c>
      <c r="D27" s="15" t="s">
        <v>67</v>
      </c>
      <c r="E27" s="15" t="s">
        <v>138</v>
      </c>
      <c r="F27" s="15" t="s">
        <v>139</v>
      </c>
    </row>
    <row r="28" customFormat="false" ht="15" hidden="false" customHeight="false" outlineLevel="0" collapsed="false">
      <c r="A28" s="15" t="s">
        <v>140</v>
      </c>
      <c r="B28" s="27" t="n">
        <f aca="false">IF(B27="Monitored",B26,B25)</f>
        <v>45</v>
      </c>
      <c r="C28" s="15" t="s">
        <v>129</v>
      </c>
      <c r="D28" s="15" t="s">
        <v>72</v>
      </c>
      <c r="E28" s="15" t="s">
        <v>141</v>
      </c>
      <c r="F28" s="15" t="s">
        <v>85</v>
      </c>
    </row>
    <row r="29" customFormat="false" ht="15" hidden="false" customHeight="false" outlineLevel="0" collapsed="false">
      <c r="A29" s="15" t="s">
        <v>142</v>
      </c>
      <c r="B29" s="24" t="s">
        <v>10</v>
      </c>
      <c r="C29" s="15" t="s">
        <v>143</v>
      </c>
      <c r="D29" s="15" t="s">
        <v>67</v>
      </c>
      <c r="E29" s="15" t="s">
        <v>144</v>
      </c>
      <c r="F29" s="15" t="s">
        <v>145</v>
      </c>
    </row>
    <row r="30" customFormat="false" ht="15" hidden="false" customHeight="false" outlineLevel="0" collapsed="false">
      <c r="A30" s="15" t="s">
        <v>146</v>
      </c>
      <c r="B30" s="27" t="n">
        <f aca="false">(B13-(B13*B17+B18+B13*B19)-B14*(B15/1000000*B22+B16/1000000*B23))*B11/3</f>
        <v>18.575</v>
      </c>
      <c r="C30" s="15" t="s">
        <v>147</v>
      </c>
      <c r="D30" s="15" t="s">
        <v>72</v>
      </c>
      <c r="E30" s="15" t="s">
        <v>148</v>
      </c>
      <c r="F30" s="15" t="s">
        <v>149</v>
      </c>
    </row>
    <row r="31" customFormat="false" ht="15" hidden="false" customHeight="false" outlineLevel="0" collapsed="false">
      <c r="A31" s="17" t="s">
        <v>150</v>
      </c>
      <c r="B31" s="28" t="n">
        <v>0</v>
      </c>
      <c r="C31" s="17" t="s">
        <v>151</v>
      </c>
      <c r="D31" s="17" t="s">
        <v>67</v>
      </c>
      <c r="E31" s="17" t="s">
        <v>152</v>
      </c>
      <c r="F31" s="17" t="s">
        <v>153</v>
      </c>
    </row>
    <row r="32" customFormat="false" ht="15" hidden="false" customHeight="false" outlineLevel="0" collapsed="false">
      <c r="A32" s="17" t="s">
        <v>154</v>
      </c>
      <c r="B32" s="29" t="n">
        <v>10</v>
      </c>
      <c r="C32" s="17" t="s">
        <v>95</v>
      </c>
      <c r="D32" s="17" t="s">
        <v>107</v>
      </c>
      <c r="E32" s="17" t="s">
        <v>155</v>
      </c>
      <c r="F32" s="17" t="s">
        <v>156</v>
      </c>
    </row>
    <row r="33" customFormat="false" ht="15" hidden="false" customHeight="false" outlineLevel="0" collapsed="false">
      <c r="A33" s="17" t="s">
        <v>157</v>
      </c>
      <c r="B33" s="29" t="n">
        <v>1000</v>
      </c>
      <c r="C33" s="17" t="s">
        <v>99</v>
      </c>
      <c r="D33" s="17" t="s">
        <v>67</v>
      </c>
      <c r="E33" s="17" t="s">
        <v>158</v>
      </c>
      <c r="F33" s="17" t="s">
        <v>159</v>
      </c>
    </row>
    <row r="34" customFormat="false" ht="21.75" hidden="false" customHeight="true" outlineLevel="0" collapsed="false">
      <c r="A34" s="12" t="s">
        <v>160</v>
      </c>
      <c r="B34" s="12"/>
      <c r="C34" s="12"/>
      <c r="D34" s="12"/>
      <c r="E34" s="12"/>
      <c r="F34" s="12"/>
    </row>
    <row r="35" customFormat="false" ht="25.5" hidden="false" customHeight="true" outlineLevel="0" collapsed="false">
      <c r="A35" s="4" t="s">
        <v>59</v>
      </c>
      <c r="B35" s="4" t="s">
        <v>161</v>
      </c>
      <c r="C35" s="4" t="s">
        <v>162</v>
      </c>
      <c r="D35" s="4" t="s">
        <v>163</v>
      </c>
      <c r="E35" s="4" t="s">
        <v>164</v>
      </c>
      <c r="F35" s="4" t="s">
        <v>165</v>
      </c>
    </row>
    <row r="36" customFormat="false" ht="15" hidden="false" customHeight="false" outlineLevel="0" collapsed="false">
      <c r="A36" s="13" t="s">
        <v>20</v>
      </c>
      <c r="B36" s="30" t="n">
        <v>7.99</v>
      </c>
      <c r="C36" s="30" t="n">
        <v>14.99</v>
      </c>
      <c r="D36" s="30" t="n">
        <v>7.99</v>
      </c>
      <c r="E36" s="30" t="n">
        <f aca="false">Assumptions!B13</f>
        <v>10</v>
      </c>
      <c r="F36" s="13" t="s">
        <v>166</v>
      </c>
    </row>
    <row r="37" customFormat="false" ht="15" hidden="false" customHeight="false" outlineLevel="0" collapsed="false">
      <c r="A37" s="15" t="s">
        <v>167</v>
      </c>
      <c r="B37" s="31" t="n">
        <v>0.02</v>
      </c>
      <c r="C37" s="31" t="n">
        <v>0.02</v>
      </c>
      <c r="D37" s="31" t="n">
        <v>0.02</v>
      </c>
      <c r="E37" s="31" t="n">
        <f aca="false">Assumptions!B8</f>
        <v>0.02</v>
      </c>
      <c r="F37" s="15" t="s">
        <v>168</v>
      </c>
    </row>
    <row r="38" customFormat="false" ht="15" hidden="false" customHeight="false" outlineLevel="0" collapsed="false">
      <c r="A38" s="15" t="s">
        <v>83</v>
      </c>
      <c r="B38" s="15" t="n">
        <v>10</v>
      </c>
      <c r="C38" s="15" t="n">
        <v>10</v>
      </c>
      <c r="D38" s="15" t="n">
        <v>10</v>
      </c>
      <c r="E38" s="15" t="n">
        <f aca="false">Assumptions!B10</f>
        <v>10</v>
      </c>
      <c r="F38" s="15" t="s">
        <v>169</v>
      </c>
    </row>
    <row r="39" customFormat="false" ht="15" hidden="false" customHeight="false" outlineLevel="0" collapsed="false">
      <c r="A39" s="15" t="s">
        <v>170</v>
      </c>
      <c r="B39" s="15" t="n">
        <v>6</v>
      </c>
      <c r="C39" s="15" t="n">
        <v>6</v>
      </c>
      <c r="D39" s="15" t="n">
        <v>6</v>
      </c>
      <c r="E39" s="15" t="n">
        <f aca="false">Assumptions!B11</f>
        <v>6</v>
      </c>
      <c r="F39" s="15" t="s">
        <v>168</v>
      </c>
    </row>
    <row r="40" customFormat="false" ht="15" hidden="false" customHeight="false" outlineLevel="0" collapsed="false">
      <c r="A40" s="15" t="s">
        <v>24</v>
      </c>
      <c r="B40" s="32" t="n">
        <v>25</v>
      </c>
      <c r="C40" s="32" t="n">
        <v>94</v>
      </c>
      <c r="D40" s="32" t="n">
        <v>45</v>
      </c>
      <c r="E40" s="32" t="n">
        <f aca="false">Assumptions!B25</f>
        <v>45</v>
      </c>
      <c r="F40" s="15" t="s">
        <v>171</v>
      </c>
    </row>
    <row r="41" customFormat="false" ht="15" hidden="false" customHeight="false" outlineLevel="0" collapsed="false">
      <c r="A41" s="17" t="s">
        <v>8</v>
      </c>
      <c r="B41" s="33" t="n">
        <v>7.1</v>
      </c>
      <c r="C41" s="33" t="n">
        <v>9.48</v>
      </c>
      <c r="D41" s="33" t="n">
        <v>5.54</v>
      </c>
      <c r="E41" s="33" t="n">
        <f aca="false">'Unit Economics'!B11</f>
        <v>9.2875</v>
      </c>
      <c r="F41" s="17" t="s">
        <v>172</v>
      </c>
    </row>
  </sheetData>
  <mergeCells count="4">
    <mergeCell ref="A1:F1"/>
    <mergeCell ref="A2:F3"/>
    <mergeCell ref="A4:F4"/>
    <mergeCell ref="A34:F34"/>
  </mergeCells>
  <dataValidations count="1">
    <dataValidation allowBlank="false" errorStyle="stop" operator="between" showDropDown="false" showErrorMessage="false" showInputMessage="false" sqref="B27" type="list">
      <formula1>"Lean,Monitored"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16"/>
    <col collapsed="false" customWidth="true" hidden="false" outlineLevel="0" max="5" min="5" style="0" width="19"/>
    <col collapsed="false" customWidth="true" hidden="false" outlineLevel="0" max="6" min="6" style="0" width="36"/>
    <col collapsed="false" customWidth="true" hidden="false" outlineLevel="0" max="7" min="7" style="0" width="48"/>
    <col collapsed="false" customWidth="true" hidden="false" outlineLevel="0" max="8" min="8" style="0" width="3"/>
    <col collapsed="false" customWidth="true" hidden="false" outlineLevel="0" max="9" min="9" style="0" width="25"/>
    <col collapsed="false" customWidth="true" hidden="false" outlineLevel="0" max="12" min="10" style="0" width="17"/>
  </cols>
  <sheetData>
    <row r="1" customFormat="false" ht="33.75" hidden="false" customHeight="true" outlineLevel="0" collapsed="false">
      <c r="A1" s="1" t="s">
        <v>173</v>
      </c>
      <c r="B1" s="1"/>
      <c r="C1" s="1"/>
      <c r="D1" s="1"/>
      <c r="E1" s="1"/>
      <c r="F1" s="1"/>
      <c r="G1" s="1"/>
      <c r="H1" s="2"/>
      <c r="I1" s="2"/>
      <c r="J1" s="2"/>
      <c r="K1" s="2"/>
      <c r="L1" s="2"/>
    </row>
    <row r="2" customFormat="false" ht="31.5" hidden="false" customHeight="true" outlineLevel="0" collapsed="false">
      <c r="A2" s="3" t="s">
        <v>174</v>
      </c>
      <c r="B2" s="3"/>
      <c r="C2" s="3"/>
      <c r="D2" s="3"/>
      <c r="E2" s="3"/>
      <c r="F2" s="3"/>
      <c r="G2" s="3"/>
      <c r="H2" s="2"/>
      <c r="I2" s="2"/>
      <c r="J2" s="2"/>
      <c r="K2" s="2"/>
      <c r="L2" s="2"/>
    </row>
    <row r="3" customFormat="false" ht="31.5" hidden="false" customHeight="true" outlineLevel="0" collapsed="false">
      <c r="A3" s="3"/>
      <c r="B3" s="3"/>
      <c r="C3" s="3"/>
      <c r="D3" s="3"/>
      <c r="E3" s="3"/>
      <c r="F3" s="3"/>
      <c r="G3" s="3"/>
      <c r="H3" s="2"/>
      <c r="I3" s="2"/>
      <c r="J3" s="2"/>
      <c r="K3" s="2"/>
      <c r="L3" s="2"/>
    </row>
    <row r="4" customFormat="false" ht="25.5" hidden="false" customHeight="true" outlineLevel="0" collapsed="false">
      <c r="A4" s="34" t="s">
        <v>175</v>
      </c>
      <c r="B4" s="34"/>
      <c r="C4" s="34"/>
      <c r="D4" s="34"/>
      <c r="E4" s="34"/>
      <c r="F4" s="34"/>
      <c r="G4" s="34"/>
      <c r="H4" s="2"/>
      <c r="I4" s="4" t="s">
        <v>176</v>
      </c>
      <c r="J4" s="4" t="s">
        <v>3</v>
      </c>
      <c r="K4" s="4" t="s">
        <v>14</v>
      </c>
      <c r="L4" s="4" t="s">
        <v>15</v>
      </c>
    </row>
    <row r="5" customFormat="false" ht="15" hidden="false" customHeight="false" outlineLevel="0" collapsed="false">
      <c r="A5" s="34"/>
      <c r="B5" s="34"/>
      <c r="C5" s="34"/>
      <c r="D5" s="34"/>
      <c r="E5" s="34"/>
      <c r="F5" s="34"/>
      <c r="G5" s="34"/>
      <c r="H5" s="2"/>
      <c r="I5" s="2" t="s">
        <v>177</v>
      </c>
      <c r="J5" s="6" t="n">
        <v>94</v>
      </c>
      <c r="K5" s="6" t="n">
        <v>45</v>
      </c>
      <c r="L5" s="6" t="n">
        <v>71</v>
      </c>
    </row>
    <row r="6" customFormat="false" ht="25.5" hidden="false" customHeight="true" outlineLevel="0" collapsed="false">
      <c r="A6" s="4" t="s">
        <v>178</v>
      </c>
      <c r="B6" s="4" t="s">
        <v>49</v>
      </c>
      <c r="C6" s="4" t="s">
        <v>14</v>
      </c>
      <c r="D6" s="4" t="s">
        <v>15</v>
      </c>
      <c r="E6" s="4" t="s">
        <v>179</v>
      </c>
      <c r="F6" s="4" t="s">
        <v>180</v>
      </c>
      <c r="G6" s="4" t="s">
        <v>181</v>
      </c>
      <c r="H6" s="2"/>
      <c r="I6" s="2" t="s">
        <v>182</v>
      </c>
      <c r="J6" s="6" t="n">
        <v>0</v>
      </c>
      <c r="K6" s="6" t="n">
        <v>49</v>
      </c>
      <c r="L6" s="6" t="n">
        <v>23</v>
      </c>
    </row>
    <row r="7" customFormat="false" ht="15" hidden="false" customHeight="false" outlineLevel="0" collapsed="false">
      <c r="A7" s="13" t="s">
        <v>183</v>
      </c>
      <c r="B7" s="30" t="n">
        <v>25</v>
      </c>
      <c r="C7" s="30" t="n">
        <v>25</v>
      </c>
      <c r="D7" s="30" t="n">
        <v>25</v>
      </c>
      <c r="E7" s="13" t="s">
        <v>184</v>
      </c>
      <c r="F7" s="13" t="s">
        <v>185</v>
      </c>
      <c r="G7" s="13" t="s">
        <v>186</v>
      </c>
      <c r="H7" s="2"/>
      <c r="I7" s="2" t="s">
        <v>187</v>
      </c>
      <c r="J7" s="6" t="n">
        <v>0</v>
      </c>
      <c r="K7" s="6" t="n">
        <v>7</v>
      </c>
      <c r="L7" s="6" t="n">
        <v>7</v>
      </c>
    </row>
    <row r="8" customFormat="false" ht="15" hidden="false" customHeight="false" outlineLevel="0" collapsed="false">
      <c r="A8" s="15" t="s">
        <v>188</v>
      </c>
      <c r="B8" s="32" t="n">
        <v>20</v>
      </c>
      <c r="C8" s="32" t="n">
        <v>20</v>
      </c>
      <c r="D8" s="32" t="n">
        <v>20</v>
      </c>
      <c r="E8" s="15" t="s">
        <v>184</v>
      </c>
      <c r="F8" s="15" t="s">
        <v>189</v>
      </c>
      <c r="G8" s="15" t="s">
        <v>190</v>
      </c>
      <c r="H8" s="2"/>
      <c r="I8" s="2" t="s">
        <v>191</v>
      </c>
      <c r="J8" s="6" t="n">
        <v>94</v>
      </c>
      <c r="K8" s="6" t="n">
        <v>52</v>
      </c>
      <c r="L8" s="6" t="n">
        <v>78</v>
      </c>
    </row>
    <row r="9" customFormat="false" ht="15" hidden="false" customHeight="false" outlineLevel="0" collapsed="false">
      <c r="A9" s="15" t="s">
        <v>192</v>
      </c>
      <c r="B9" s="32" t="n">
        <v>29</v>
      </c>
      <c r="C9" s="32" t="n">
        <v>0</v>
      </c>
      <c r="D9" s="32" t="n">
        <v>26</v>
      </c>
      <c r="E9" s="15" t="s">
        <v>184</v>
      </c>
      <c r="F9" s="15" t="s">
        <v>193</v>
      </c>
      <c r="G9" s="15" t="s">
        <v>194</v>
      </c>
      <c r="H9" s="2"/>
      <c r="I9" s="2"/>
      <c r="J9" s="2"/>
      <c r="K9" s="2"/>
      <c r="L9" s="2"/>
    </row>
    <row r="10" customFormat="false" ht="15" hidden="false" customHeight="false" outlineLevel="0" collapsed="false">
      <c r="A10" s="15" t="s">
        <v>195</v>
      </c>
      <c r="B10" s="32" t="n">
        <v>20</v>
      </c>
      <c r="C10" s="32" t="n">
        <v>0</v>
      </c>
      <c r="D10" s="32" t="n">
        <v>0</v>
      </c>
      <c r="E10" s="15" t="s">
        <v>184</v>
      </c>
      <c r="F10" s="15" t="s">
        <v>196</v>
      </c>
      <c r="G10" s="15" t="s">
        <v>197</v>
      </c>
      <c r="H10" s="2"/>
      <c r="I10" s="2"/>
      <c r="J10" s="2"/>
      <c r="K10" s="2"/>
      <c r="L10" s="2"/>
    </row>
    <row r="11" customFormat="false" ht="15" hidden="false" customHeight="false" outlineLevel="0" collapsed="false">
      <c r="A11" s="15" t="s">
        <v>198</v>
      </c>
      <c r="B11" s="32" t="n">
        <v>0</v>
      </c>
      <c r="C11" s="32" t="n">
        <v>0</v>
      </c>
      <c r="D11" s="32" t="n">
        <v>0</v>
      </c>
      <c r="E11" s="15" t="s">
        <v>199</v>
      </c>
      <c r="F11" s="15" t="s">
        <v>200</v>
      </c>
      <c r="G11" s="15" t="s">
        <v>201</v>
      </c>
      <c r="H11" s="2"/>
      <c r="I11" s="2"/>
      <c r="J11" s="2"/>
      <c r="K11" s="2"/>
      <c r="L11" s="2"/>
    </row>
    <row r="12" customFormat="false" ht="15" hidden="false" customHeight="false" outlineLevel="0" collapsed="false">
      <c r="A12" s="15" t="s">
        <v>202</v>
      </c>
      <c r="B12" s="32" t="n">
        <v>0</v>
      </c>
      <c r="C12" s="32" t="n">
        <v>0</v>
      </c>
      <c r="D12" s="32" t="n">
        <v>0</v>
      </c>
      <c r="E12" s="15" t="s">
        <v>199</v>
      </c>
      <c r="F12" s="15" t="s">
        <v>203</v>
      </c>
      <c r="G12" s="15" t="s">
        <v>204</v>
      </c>
      <c r="H12" s="2"/>
      <c r="I12" s="2"/>
      <c r="J12" s="2"/>
      <c r="K12" s="2"/>
      <c r="L12" s="2"/>
    </row>
    <row r="13" customFormat="false" ht="15" hidden="false" customHeight="false" outlineLevel="0" collapsed="false">
      <c r="A13" s="15" t="s">
        <v>205</v>
      </c>
      <c r="B13" s="32" t="n">
        <v>0</v>
      </c>
      <c r="C13" s="32" t="n">
        <v>0</v>
      </c>
      <c r="D13" s="32" t="n">
        <v>0</v>
      </c>
      <c r="E13" s="15" t="s">
        <v>199</v>
      </c>
      <c r="F13" s="15" t="s">
        <v>206</v>
      </c>
      <c r="G13" s="15" t="s">
        <v>207</v>
      </c>
      <c r="H13" s="2"/>
      <c r="I13" s="2"/>
      <c r="J13" s="2"/>
      <c r="K13" s="2"/>
      <c r="L13" s="2"/>
    </row>
    <row r="14" customFormat="false" ht="15" hidden="false" customHeight="false" outlineLevel="0" collapsed="false">
      <c r="A14" s="15" t="s">
        <v>208</v>
      </c>
      <c r="B14" s="32" t="n">
        <v>0</v>
      </c>
      <c r="C14" s="32" t="n">
        <v>0</v>
      </c>
      <c r="D14" s="32" t="n">
        <v>0</v>
      </c>
      <c r="E14" s="15" t="s">
        <v>199</v>
      </c>
      <c r="F14" s="15" t="s">
        <v>209</v>
      </c>
      <c r="G14" s="15" t="s">
        <v>210</v>
      </c>
      <c r="H14" s="2"/>
      <c r="I14" s="2"/>
      <c r="J14" s="2"/>
      <c r="K14" s="2"/>
      <c r="L14" s="2"/>
    </row>
    <row r="15" customFormat="false" ht="15" hidden="false" customHeight="false" outlineLevel="0" collapsed="false">
      <c r="A15" s="15" t="s">
        <v>211</v>
      </c>
      <c r="B15" s="32" t="n">
        <v>0</v>
      </c>
      <c r="C15" s="32" t="n">
        <v>0</v>
      </c>
      <c r="D15" s="32" t="n">
        <v>0</v>
      </c>
      <c r="E15" s="15" t="s">
        <v>212</v>
      </c>
      <c r="F15" s="15" t="s">
        <v>213</v>
      </c>
      <c r="G15" s="15" t="s">
        <v>214</v>
      </c>
      <c r="H15" s="2"/>
      <c r="I15" s="2"/>
      <c r="J15" s="2"/>
      <c r="K15" s="2"/>
      <c r="L15" s="2"/>
    </row>
    <row r="16" customFormat="false" ht="15" hidden="false" customHeight="false" outlineLevel="0" collapsed="false">
      <c r="A16" s="15" t="s">
        <v>215</v>
      </c>
      <c r="B16" s="32" t="n">
        <v>0</v>
      </c>
      <c r="C16" s="32" t="n">
        <v>0</v>
      </c>
      <c r="D16" s="32" t="n">
        <v>0</v>
      </c>
      <c r="E16" s="15" t="s">
        <v>199</v>
      </c>
      <c r="F16" s="15" t="s">
        <v>216</v>
      </c>
      <c r="G16" s="15" t="s">
        <v>217</v>
      </c>
      <c r="H16" s="2"/>
      <c r="I16" s="2"/>
      <c r="J16" s="2"/>
      <c r="K16" s="2"/>
      <c r="L16" s="2"/>
    </row>
    <row r="17" customFormat="false" ht="15" hidden="false" customHeight="false" outlineLevel="0" collapsed="false">
      <c r="A17" s="17" t="s">
        <v>218</v>
      </c>
      <c r="B17" s="33" t="n">
        <v>0</v>
      </c>
      <c r="C17" s="33" t="n">
        <v>0</v>
      </c>
      <c r="D17" s="33" t="n">
        <v>0</v>
      </c>
      <c r="E17" s="17" t="s">
        <v>199</v>
      </c>
      <c r="F17" s="17" t="s">
        <v>219</v>
      </c>
      <c r="G17" s="17" t="s">
        <v>220</v>
      </c>
      <c r="H17" s="2"/>
      <c r="I17" s="2"/>
      <c r="J17" s="2"/>
      <c r="K17" s="2"/>
      <c r="L17" s="2"/>
    </row>
    <row r="18" customFormat="false" ht="15" hidden="false" customHeight="false" outlineLevel="0" collapsed="false">
      <c r="A18" s="35" t="s">
        <v>221</v>
      </c>
      <c r="B18" s="36" t="n">
        <f aca="false">SUM(B7:B17)</f>
        <v>94</v>
      </c>
      <c r="C18" s="36" t="n">
        <f aca="false">SUM(C7:C17)</f>
        <v>45</v>
      </c>
      <c r="D18" s="36" t="n">
        <f aca="false">SUM(D7:D17)</f>
        <v>71</v>
      </c>
      <c r="E18" s="35"/>
      <c r="F18" s="35"/>
      <c r="G18" s="35"/>
      <c r="H18" s="2"/>
      <c r="I18" s="2"/>
      <c r="J18" s="2"/>
      <c r="K18" s="2"/>
      <c r="L18" s="2"/>
    </row>
    <row r="19" customFormat="false" ht="15" hidden="false" customHeight="false" outlineLevel="0" collapsed="false">
      <c r="A19" s="2"/>
      <c r="B19" s="2"/>
      <c r="C19" s="2"/>
      <c r="D19" s="2"/>
      <c r="E19" s="2"/>
      <c r="F19" s="2"/>
      <c r="G19" s="2"/>
      <c r="H19" s="2"/>
      <c r="I19" s="2"/>
      <c r="J19" s="2"/>
      <c r="K19" s="2"/>
      <c r="L19" s="2"/>
    </row>
    <row r="20" customFormat="false" ht="15" hidden="false" customHeight="false" outlineLevel="0" collapsed="false">
      <c r="A20" s="2"/>
      <c r="B20" s="2"/>
      <c r="C20" s="2"/>
      <c r="D20" s="2"/>
      <c r="E20" s="2"/>
      <c r="F20" s="2"/>
      <c r="G20" s="2"/>
      <c r="H20" s="2"/>
      <c r="I20" s="2"/>
      <c r="J20" s="2"/>
      <c r="K20" s="2"/>
      <c r="L20" s="2"/>
    </row>
    <row r="21" customFormat="false" ht="21.75" hidden="false" customHeight="true" outlineLevel="0" collapsed="false">
      <c r="A21" s="12" t="s">
        <v>222</v>
      </c>
      <c r="B21" s="12"/>
      <c r="C21" s="12"/>
      <c r="D21" s="12"/>
      <c r="E21" s="12"/>
      <c r="F21" s="12"/>
      <c r="G21" s="12"/>
      <c r="H21" s="2"/>
      <c r="I21" s="2"/>
      <c r="J21" s="2"/>
      <c r="K21" s="2"/>
      <c r="L21" s="2"/>
    </row>
    <row r="22" customFormat="false" ht="25.5" hidden="false" customHeight="true" outlineLevel="0" collapsed="false">
      <c r="A22" s="4" t="s">
        <v>223</v>
      </c>
      <c r="B22" s="4" t="s">
        <v>49</v>
      </c>
      <c r="C22" s="4" t="s">
        <v>224</v>
      </c>
      <c r="D22" s="4" t="s">
        <v>225</v>
      </c>
      <c r="E22" s="4" t="s">
        <v>226</v>
      </c>
      <c r="F22" s="4" t="s">
        <v>227</v>
      </c>
      <c r="G22" s="4" t="s">
        <v>107</v>
      </c>
      <c r="H22" s="2"/>
      <c r="I22" s="2"/>
      <c r="J22" s="2"/>
      <c r="K22" s="2"/>
      <c r="L22" s="2"/>
    </row>
    <row r="23" customFormat="false" ht="15" hidden="false" customHeight="false" outlineLevel="0" collapsed="false">
      <c r="A23" s="13" t="s">
        <v>228</v>
      </c>
      <c r="B23" s="30" t="n">
        <v>4.7</v>
      </c>
      <c r="C23" s="30" t="n">
        <v>0</v>
      </c>
      <c r="D23" s="30" t="n">
        <v>0</v>
      </c>
      <c r="E23" s="13" t="s">
        <v>229</v>
      </c>
      <c r="F23" s="13" t="s">
        <v>230</v>
      </c>
      <c r="G23" s="13" t="s">
        <v>207</v>
      </c>
      <c r="H23" s="2"/>
      <c r="I23" s="2"/>
      <c r="J23" s="2"/>
      <c r="K23" s="2"/>
      <c r="L23" s="2"/>
    </row>
    <row r="24" customFormat="false" ht="15" hidden="false" customHeight="false" outlineLevel="0" collapsed="false">
      <c r="A24" s="15" t="s">
        <v>231</v>
      </c>
      <c r="B24" s="32" t="n">
        <f aca="false">'Prior Models'!C10-B23</f>
        <v>0.81</v>
      </c>
      <c r="C24" s="32" t="n">
        <f aca="false">'Unit Economics'!B8</f>
        <v>0.66</v>
      </c>
      <c r="D24" s="32" t="n">
        <f aca="false">'Unit Economics'!B8</f>
        <v>0.66</v>
      </c>
      <c r="E24" s="15" t="s">
        <v>232</v>
      </c>
      <c r="F24" s="15" t="s">
        <v>233</v>
      </c>
      <c r="G24" s="15" t="s">
        <v>220</v>
      </c>
      <c r="H24" s="2"/>
      <c r="I24" s="2"/>
      <c r="J24" s="2"/>
      <c r="K24" s="2"/>
      <c r="L24" s="2"/>
    </row>
    <row r="25" customFormat="false" ht="15" hidden="false" customHeight="false" outlineLevel="0" collapsed="false">
      <c r="A25" s="15" t="s">
        <v>215</v>
      </c>
      <c r="B25" s="32" t="n">
        <v>0</v>
      </c>
      <c r="C25" s="32" t="n">
        <f aca="false">'Unit Economics'!B9</f>
        <v>0.02625</v>
      </c>
      <c r="D25" s="32" t="n">
        <f aca="false">'Unit Economics'!B10</f>
        <v>0.0525</v>
      </c>
      <c r="E25" s="15" t="s">
        <v>234</v>
      </c>
      <c r="F25" s="15" t="s">
        <v>235</v>
      </c>
      <c r="G25" s="15" t="s">
        <v>217</v>
      </c>
      <c r="H25" s="2"/>
      <c r="I25" s="2"/>
      <c r="J25" s="2"/>
      <c r="K25" s="2"/>
      <c r="L25" s="2"/>
    </row>
    <row r="26" customFormat="false" ht="15" hidden="false" customHeight="false" outlineLevel="0" collapsed="false">
      <c r="A26" s="37" t="s">
        <v>236</v>
      </c>
      <c r="B26" s="38" t="n">
        <f aca="false">SUM(B23:B25)</f>
        <v>5.51</v>
      </c>
      <c r="C26" s="38" t="n">
        <f aca="false">SUM(C23:C25)</f>
        <v>0.68625</v>
      </c>
      <c r="D26" s="38" t="n">
        <f aca="false">SUM(D23:D25)</f>
        <v>0.7125</v>
      </c>
      <c r="E26" s="37" t="s">
        <v>237</v>
      </c>
      <c r="F26" s="37" t="s">
        <v>238</v>
      </c>
      <c r="G26" s="37"/>
      <c r="H26" s="2"/>
      <c r="I26" s="2"/>
      <c r="J26" s="2"/>
      <c r="K26" s="2"/>
      <c r="L26" s="2"/>
    </row>
  </sheetData>
  <mergeCells count="4">
    <mergeCell ref="A1:G1"/>
    <mergeCell ref="A2:G3"/>
    <mergeCell ref="A4:G5"/>
    <mergeCell ref="A21:G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1"/>
    <col collapsed="false" customWidth="true" hidden="false" outlineLevel="0" max="2" min="2" style="0" width="22"/>
    <col collapsed="false" customWidth="true" hidden="false" outlineLevel="0" max="4" min="3" style="0" width="15"/>
    <col collapsed="false" customWidth="true" hidden="false" outlineLevel="0" max="6" min="5" style="0" width="19"/>
    <col collapsed="false" customWidth="true" hidden="false" outlineLevel="0" max="8" min="7" style="0" width="29"/>
    <col collapsed="false" customWidth="true" hidden="false" outlineLevel="0" max="9" min="9" style="0" width="52"/>
  </cols>
  <sheetData>
    <row r="1" customFormat="false" ht="33.75" hidden="false" customHeight="true" outlineLevel="0" collapsed="false">
      <c r="A1" s="1" t="s">
        <v>239</v>
      </c>
      <c r="B1" s="1"/>
      <c r="C1" s="1"/>
      <c r="D1" s="1"/>
      <c r="E1" s="1"/>
      <c r="F1" s="1"/>
      <c r="G1" s="1"/>
      <c r="H1" s="1"/>
      <c r="I1" s="1"/>
    </row>
    <row r="2" customFormat="false" ht="31.5" hidden="false" customHeight="true" outlineLevel="0" collapsed="false">
      <c r="A2" s="3" t="s">
        <v>240</v>
      </c>
      <c r="B2" s="3"/>
      <c r="C2" s="3"/>
      <c r="D2" s="3"/>
      <c r="E2" s="3"/>
      <c r="F2" s="3"/>
      <c r="G2" s="3"/>
      <c r="H2" s="3"/>
      <c r="I2" s="3"/>
    </row>
    <row r="3" customFormat="false" ht="31.5" hidden="false" customHeight="true" outlineLevel="0" collapsed="false">
      <c r="A3" s="3"/>
      <c r="B3" s="3"/>
      <c r="C3" s="3"/>
      <c r="D3" s="3"/>
      <c r="E3" s="3"/>
      <c r="F3" s="3"/>
      <c r="G3" s="3"/>
      <c r="H3" s="3"/>
      <c r="I3" s="3"/>
    </row>
    <row r="4" customFormat="false" ht="25.5" hidden="false" customHeight="true" outlineLevel="0" collapsed="false">
      <c r="A4" s="4" t="s">
        <v>241</v>
      </c>
      <c r="B4" s="4" t="s">
        <v>242</v>
      </c>
      <c r="C4" s="4" t="s">
        <v>243</v>
      </c>
      <c r="D4" s="4" t="s">
        <v>244</v>
      </c>
      <c r="E4" s="4" t="s">
        <v>245</v>
      </c>
      <c r="F4" s="4" t="s">
        <v>246</v>
      </c>
      <c r="G4" s="4" t="s">
        <v>247</v>
      </c>
      <c r="H4" s="4" t="s">
        <v>248</v>
      </c>
      <c r="I4" s="4" t="s">
        <v>181</v>
      </c>
    </row>
    <row r="5" customFormat="false" ht="15" hidden="false" customHeight="false" outlineLevel="0" collapsed="false">
      <c r="A5" s="13" t="s">
        <v>249</v>
      </c>
      <c r="B5" s="13" t="s">
        <v>250</v>
      </c>
      <c r="C5" s="39" t="n">
        <v>0.5</v>
      </c>
      <c r="D5" s="39" t="n">
        <v>3</v>
      </c>
      <c r="E5" s="39" t="n">
        <f aca="false">C5*Assumptions!$B$15/1000000+D5*Assumptions!$B$16/1000000</f>
        <v>0.00185</v>
      </c>
      <c r="F5" s="39" t="n">
        <f aca="false">E5*Assumptions!$B$14</f>
        <v>0.0185</v>
      </c>
      <c r="G5" s="13" t="s">
        <v>251</v>
      </c>
      <c r="H5" s="13" t="s">
        <v>252</v>
      </c>
      <c r="I5" s="13" t="s">
        <v>217</v>
      </c>
    </row>
    <row r="6" customFormat="false" ht="15" hidden="false" customHeight="false" outlineLevel="0" collapsed="false">
      <c r="A6" s="40" t="s">
        <v>253</v>
      </c>
      <c r="B6" s="40" t="s">
        <v>254</v>
      </c>
      <c r="C6" s="41" t="n">
        <v>0.75</v>
      </c>
      <c r="D6" s="41" t="n">
        <v>3.75</v>
      </c>
      <c r="E6" s="41" t="n">
        <f aca="false">C6*Assumptions!$B$15/1000000+D6*Assumptions!$B$16/1000000</f>
        <v>0.002625</v>
      </c>
      <c r="F6" s="41" t="n">
        <f aca="false">E6*Assumptions!$B$14</f>
        <v>0.02625</v>
      </c>
      <c r="G6" s="40" t="s">
        <v>255</v>
      </c>
      <c r="H6" s="40" t="s">
        <v>256</v>
      </c>
      <c r="I6" s="40" t="s">
        <v>217</v>
      </c>
    </row>
    <row r="7" customFormat="false" ht="15" hidden="false" customHeight="false" outlineLevel="0" collapsed="false">
      <c r="A7" s="40" t="s">
        <v>257</v>
      </c>
      <c r="B7" s="40" t="s">
        <v>254</v>
      </c>
      <c r="C7" s="41" t="n">
        <v>1.5</v>
      </c>
      <c r="D7" s="41" t="n">
        <v>7.5</v>
      </c>
      <c r="E7" s="41" t="n">
        <f aca="false">C7*Assumptions!$B$15/1000000+D7*Assumptions!$B$16/1000000</f>
        <v>0.00525</v>
      </c>
      <c r="F7" s="41" t="n">
        <f aca="false">E7*Assumptions!$B$14</f>
        <v>0.0525</v>
      </c>
      <c r="G7" s="40" t="s">
        <v>258</v>
      </c>
      <c r="H7" s="40" t="s">
        <v>259</v>
      </c>
      <c r="I7" s="40" t="s">
        <v>217</v>
      </c>
    </row>
    <row r="8" customFormat="false" ht="15" hidden="false" customHeight="false" outlineLevel="0" collapsed="false">
      <c r="A8" s="42" t="s">
        <v>260</v>
      </c>
      <c r="B8" s="42" t="s">
        <v>261</v>
      </c>
      <c r="C8" s="43" t="n">
        <v>0.3</v>
      </c>
      <c r="D8" s="43" t="n">
        <v>2.5</v>
      </c>
      <c r="E8" s="43" t="n">
        <f aca="false">C8*Assumptions!$B$15/1000000+D8*Assumptions!$B$16/1000000</f>
        <v>0.00125</v>
      </c>
      <c r="F8" s="43" t="n">
        <f aca="false">E8*Assumptions!$B$14</f>
        <v>0.0125</v>
      </c>
      <c r="G8" s="42" t="s">
        <v>262</v>
      </c>
      <c r="H8" s="42" t="s">
        <v>263</v>
      </c>
      <c r="I8" s="42" t="s">
        <v>264</v>
      </c>
    </row>
    <row r="9" customFormat="false" ht="15" hidden="false" customHeight="false" outlineLevel="0" collapsed="false">
      <c r="A9" s="2"/>
      <c r="B9" s="2"/>
      <c r="C9" s="2"/>
      <c r="D9" s="2"/>
      <c r="E9" s="2"/>
      <c r="F9" s="2"/>
      <c r="G9" s="2"/>
      <c r="H9" s="2"/>
      <c r="I9" s="2"/>
    </row>
    <row r="10" customFormat="false" ht="15" hidden="false" customHeight="false" outlineLevel="0" collapsed="false">
      <c r="A10" s="2"/>
      <c r="B10" s="2"/>
      <c r="C10" s="2"/>
      <c r="D10" s="2"/>
      <c r="E10" s="2"/>
      <c r="F10" s="2"/>
      <c r="G10" s="2"/>
      <c r="H10" s="2"/>
      <c r="I10" s="2"/>
    </row>
    <row r="11" customFormat="false" ht="21.75" hidden="false" customHeight="true" outlineLevel="0" collapsed="false">
      <c r="A11" s="12" t="s">
        <v>265</v>
      </c>
      <c r="B11" s="12"/>
      <c r="C11" s="12"/>
      <c r="D11" s="12"/>
      <c r="E11" s="12"/>
      <c r="F11" s="12"/>
      <c r="G11" s="12"/>
      <c r="H11" s="12"/>
      <c r="I11" s="12"/>
    </row>
    <row r="12" customFormat="false" ht="25.5" hidden="false" customHeight="true" outlineLevel="0" collapsed="false">
      <c r="A12" s="4" t="s">
        <v>266</v>
      </c>
      <c r="B12" s="4" t="s">
        <v>267</v>
      </c>
      <c r="C12" s="4" t="s">
        <v>268</v>
      </c>
      <c r="D12" s="4" t="s">
        <v>269</v>
      </c>
      <c r="E12" s="4" t="s">
        <v>270</v>
      </c>
      <c r="F12" s="2"/>
      <c r="G12" s="2"/>
      <c r="H12" s="2"/>
      <c r="I12" s="2"/>
    </row>
    <row r="13" customFormat="false" ht="15" hidden="false" customHeight="false" outlineLevel="0" collapsed="false">
      <c r="A13" s="13" t="n">
        <v>5</v>
      </c>
      <c r="B13" s="44" t="n">
        <f aca="false">$A13*$E$5</f>
        <v>0.00925</v>
      </c>
      <c r="C13" s="44" t="n">
        <f aca="false">$A13*$E$6</f>
        <v>0.013125</v>
      </c>
      <c r="D13" s="44" t="n">
        <f aca="false">$A13*$E$7</f>
        <v>0.02625</v>
      </c>
      <c r="E13" s="44" t="n">
        <f aca="false">$A13*$E$8</f>
        <v>0.00625</v>
      </c>
      <c r="F13" s="2"/>
      <c r="G13" s="2"/>
      <c r="H13" s="2"/>
      <c r="I13" s="2"/>
    </row>
    <row r="14" customFormat="false" ht="15" hidden="false" customHeight="false" outlineLevel="0" collapsed="false">
      <c r="A14" s="15" t="n">
        <v>10</v>
      </c>
      <c r="B14" s="45" t="n">
        <f aca="false">$A14*$E$5</f>
        <v>0.0185</v>
      </c>
      <c r="C14" s="45" t="n">
        <f aca="false">$A14*$E$6</f>
        <v>0.02625</v>
      </c>
      <c r="D14" s="45" t="n">
        <f aca="false">$A14*$E$7</f>
        <v>0.0525</v>
      </c>
      <c r="E14" s="45" t="n">
        <f aca="false">$A14*$E$8</f>
        <v>0.0125</v>
      </c>
      <c r="F14" s="2"/>
      <c r="G14" s="2"/>
      <c r="H14" s="2"/>
      <c r="I14" s="2"/>
    </row>
    <row r="15" customFormat="false" ht="15" hidden="false" customHeight="false" outlineLevel="0" collapsed="false">
      <c r="A15" s="15" t="n">
        <v>20</v>
      </c>
      <c r="B15" s="45" t="n">
        <f aca="false">$A15*$E$5</f>
        <v>0.037</v>
      </c>
      <c r="C15" s="45" t="n">
        <f aca="false">$A15*$E$6</f>
        <v>0.0525</v>
      </c>
      <c r="D15" s="45" t="n">
        <f aca="false">$A15*$E$7</f>
        <v>0.105</v>
      </c>
      <c r="E15" s="45" t="n">
        <f aca="false">$A15*$E$8</f>
        <v>0.025</v>
      </c>
      <c r="F15" s="2"/>
      <c r="G15" s="2"/>
      <c r="H15" s="2"/>
      <c r="I15" s="2"/>
    </row>
    <row r="16" customFormat="false" ht="15" hidden="false" customHeight="false" outlineLevel="0" collapsed="false">
      <c r="A16" s="17" t="n">
        <v>40</v>
      </c>
      <c r="B16" s="46" t="n">
        <f aca="false">$A16*$E$5</f>
        <v>0.074</v>
      </c>
      <c r="C16" s="46" t="n">
        <f aca="false">$A16*$E$6</f>
        <v>0.105</v>
      </c>
      <c r="D16" s="46" t="n">
        <f aca="false">$A16*$E$7</f>
        <v>0.21</v>
      </c>
      <c r="E16" s="46" t="n">
        <f aca="false">$A16*$E$8</f>
        <v>0.05</v>
      </c>
      <c r="F16" s="2"/>
      <c r="G16" s="2"/>
      <c r="H16" s="2"/>
      <c r="I16" s="2"/>
    </row>
    <row r="17" customFormat="false" ht="15" hidden="false" customHeight="false" outlineLevel="0" collapsed="false">
      <c r="A17" s="2"/>
      <c r="B17" s="2"/>
      <c r="C17" s="2"/>
      <c r="D17" s="2"/>
      <c r="E17" s="2"/>
      <c r="F17" s="2"/>
      <c r="G17" s="2"/>
      <c r="H17" s="2"/>
      <c r="I17" s="2"/>
    </row>
    <row r="18" customFormat="false" ht="15" hidden="false" customHeight="false" outlineLevel="0" collapsed="false">
      <c r="A18" s="2"/>
      <c r="B18" s="2"/>
      <c r="C18" s="2"/>
      <c r="D18" s="2"/>
      <c r="E18" s="2"/>
      <c r="F18" s="2"/>
      <c r="G18" s="2"/>
      <c r="H18" s="2"/>
      <c r="I18" s="2"/>
    </row>
    <row r="19" customFormat="false" ht="15" hidden="false" customHeight="true" outlineLevel="0" collapsed="false">
      <c r="A19" s="19" t="s">
        <v>271</v>
      </c>
      <c r="B19" s="19"/>
      <c r="C19" s="19"/>
      <c r="D19" s="19"/>
      <c r="E19" s="19"/>
      <c r="F19" s="19"/>
      <c r="G19" s="19"/>
      <c r="H19" s="19"/>
      <c r="I19" s="19"/>
    </row>
    <row r="20" customFormat="false" ht="15" hidden="false" customHeight="false" outlineLevel="0" collapsed="false">
      <c r="A20" s="19"/>
      <c r="B20" s="19"/>
      <c r="C20" s="19"/>
      <c r="D20" s="19"/>
      <c r="E20" s="19"/>
      <c r="F20" s="19"/>
      <c r="G20" s="19"/>
      <c r="H20" s="19"/>
      <c r="I20" s="19"/>
    </row>
    <row r="21" customFormat="false" ht="15" hidden="false" customHeight="false" outlineLevel="0" collapsed="false">
      <c r="A21" s="19"/>
      <c r="B21" s="19"/>
      <c r="C21" s="19"/>
      <c r="D21" s="19"/>
      <c r="E21" s="19"/>
      <c r="F21" s="19"/>
      <c r="G21" s="19"/>
      <c r="H21" s="19"/>
      <c r="I21" s="19"/>
    </row>
  </sheetData>
  <mergeCells count="4">
    <mergeCell ref="A1:I1"/>
    <mergeCell ref="A2:I3"/>
    <mergeCell ref="A11:I11"/>
    <mergeCell ref="A19:I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6" min="2" style="0" width="17"/>
    <col collapsed="false" customWidth="true" hidden="false" outlineLevel="0" max="7" min="7" style="0" width="25"/>
    <col collapsed="false" customWidth="true" hidden="false" outlineLevel="0" max="8" min="8" style="0" width="44"/>
  </cols>
  <sheetData>
    <row r="1" customFormat="false" ht="33.75" hidden="false" customHeight="true" outlineLevel="0" collapsed="false">
      <c r="A1" s="1" t="s">
        <v>272</v>
      </c>
      <c r="B1" s="1"/>
      <c r="C1" s="1"/>
      <c r="D1" s="1"/>
      <c r="E1" s="1"/>
      <c r="F1" s="1"/>
      <c r="G1" s="1"/>
      <c r="H1" s="1"/>
    </row>
    <row r="2" customFormat="false" ht="31.5" hidden="false" customHeight="true" outlineLevel="0" collapsed="false">
      <c r="A2" s="3" t="s">
        <v>273</v>
      </c>
      <c r="B2" s="3"/>
      <c r="C2" s="3"/>
      <c r="D2" s="3"/>
      <c r="E2" s="3"/>
      <c r="F2" s="3"/>
      <c r="G2" s="3"/>
      <c r="H2" s="3"/>
    </row>
    <row r="3" customFormat="false" ht="31.5" hidden="false" customHeight="true" outlineLevel="0" collapsed="false">
      <c r="A3" s="3"/>
      <c r="B3" s="3"/>
      <c r="C3" s="3"/>
      <c r="D3" s="3"/>
      <c r="E3" s="3"/>
      <c r="F3" s="3"/>
      <c r="G3" s="3"/>
      <c r="H3" s="3"/>
    </row>
    <row r="4" customFormat="false" ht="25.5" hidden="false" customHeight="true" outlineLevel="0" collapsed="false">
      <c r="A4" s="4" t="s">
        <v>12</v>
      </c>
      <c r="B4" s="4" t="s">
        <v>161</v>
      </c>
      <c r="C4" s="4" t="s">
        <v>162</v>
      </c>
      <c r="D4" s="4" t="s">
        <v>163</v>
      </c>
      <c r="E4" s="4" t="s">
        <v>14</v>
      </c>
      <c r="F4" s="4" t="s">
        <v>15</v>
      </c>
      <c r="G4" s="4" t="s">
        <v>274</v>
      </c>
      <c r="H4" s="4" t="s">
        <v>275</v>
      </c>
    </row>
    <row r="5" customFormat="false" ht="15" hidden="false" customHeight="false" outlineLevel="0" collapsed="false">
      <c r="A5" s="13" t="s">
        <v>20</v>
      </c>
      <c r="B5" s="47" t="n">
        <v>7.99</v>
      </c>
      <c r="C5" s="47" t="n">
        <v>14.99</v>
      </c>
      <c r="D5" s="47" t="n">
        <v>7.99</v>
      </c>
      <c r="E5" s="47" t="n">
        <f aca="false">Assumptions!B13</f>
        <v>10</v>
      </c>
      <c r="F5" s="47" t="n">
        <f aca="false">Assumptions!B13</f>
        <v>10</v>
      </c>
      <c r="G5" s="13" t="s">
        <v>91</v>
      </c>
      <c r="H5" s="13" t="s">
        <v>276</v>
      </c>
    </row>
    <row r="6" customFormat="false" ht="15" hidden="false" customHeight="false" outlineLevel="0" collapsed="false">
      <c r="A6" s="15" t="s">
        <v>167</v>
      </c>
      <c r="B6" s="31" t="n">
        <v>0.02</v>
      </c>
      <c r="C6" s="31" t="n">
        <v>0.02</v>
      </c>
      <c r="D6" s="31" t="n">
        <v>0.02</v>
      </c>
      <c r="E6" s="31" t="n">
        <f aca="false">Assumptions!B8</f>
        <v>0.02</v>
      </c>
      <c r="F6" s="31" t="n">
        <f aca="false">Assumptions!B8</f>
        <v>0.02</v>
      </c>
      <c r="G6" s="15" t="s">
        <v>277</v>
      </c>
      <c r="H6" s="15" t="s">
        <v>278</v>
      </c>
    </row>
    <row r="7" customFormat="false" ht="15" hidden="false" customHeight="false" outlineLevel="0" collapsed="false">
      <c r="A7" s="15" t="s">
        <v>83</v>
      </c>
      <c r="B7" s="15" t="n">
        <v>10</v>
      </c>
      <c r="C7" s="15" t="n">
        <v>10</v>
      </c>
      <c r="D7" s="15" t="n">
        <v>10</v>
      </c>
      <c r="E7" s="15" t="n">
        <f aca="false">Assumptions!B10</f>
        <v>10</v>
      </c>
      <c r="F7" s="15" t="n">
        <f aca="false">Assumptions!B10</f>
        <v>10</v>
      </c>
      <c r="G7" s="15" t="s">
        <v>279</v>
      </c>
      <c r="H7" s="15" t="s">
        <v>280</v>
      </c>
    </row>
    <row r="8" customFormat="false" ht="15" hidden="false" customHeight="false" outlineLevel="0" collapsed="false">
      <c r="A8" s="15" t="s">
        <v>86</v>
      </c>
      <c r="B8" s="15" t="n">
        <v>6</v>
      </c>
      <c r="C8" s="15" t="n">
        <v>6</v>
      </c>
      <c r="D8" s="15" t="n">
        <v>6</v>
      </c>
      <c r="E8" s="15" t="n">
        <f aca="false">Assumptions!B11</f>
        <v>6</v>
      </c>
      <c r="F8" s="15" t="n">
        <f aca="false">Assumptions!B11</f>
        <v>6</v>
      </c>
      <c r="G8" s="15" t="s">
        <v>281</v>
      </c>
      <c r="H8" s="15" t="s">
        <v>278</v>
      </c>
    </row>
    <row r="9" customFormat="false" ht="15" hidden="false" customHeight="false" outlineLevel="0" collapsed="false">
      <c r="A9" s="15" t="s">
        <v>24</v>
      </c>
      <c r="B9" s="48" t="n">
        <v>25</v>
      </c>
      <c r="C9" s="48" t="n">
        <v>94</v>
      </c>
      <c r="D9" s="48" t="n">
        <v>45</v>
      </c>
      <c r="E9" s="48" t="n">
        <f aca="false">Assumptions!B25</f>
        <v>45</v>
      </c>
      <c r="F9" s="48" t="n">
        <f aca="false">Assumptions!B26</f>
        <v>71</v>
      </c>
      <c r="G9" s="15" t="s">
        <v>129</v>
      </c>
      <c r="H9" s="15" t="s">
        <v>282</v>
      </c>
    </row>
    <row r="10" customFormat="false" ht="15" hidden="false" customHeight="false" outlineLevel="0" collapsed="false">
      <c r="A10" s="15" t="s">
        <v>28</v>
      </c>
      <c r="B10" s="48" t="n">
        <v>0.89</v>
      </c>
      <c r="C10" s="48" t="n">
        <v>5.51</v>
      </c>
      <c r="D10" s="48" t="n">
        <v>2.45</v>
      </c>
      <c r="E10" s="48" t="n">
        <f aca="false">Assumptions!B13-'Unit Economics'!B11</f>
        <v>0.7125</v>
      </c>
      <c r="F10" s="48" t="n">
        <f aca="false">Assumptions!B13-'Unit Economics'!B11</f>
        <v>0.7125</v>
      </c>
      <c r="G10" s="15" t="s">
        <v>129</v>
      </c>
      <c r="H10" s="15" t="s">
        <v>283</v>
      </c>
    </row>
    <row r="11" customFormat="false" ht="15" hidden="false" customHeight="false" outlineLevel="0" collapsed="false">
      <c r="A11" s="15" t="s">
        <v>8</v>
      </c>
      <c r="B11" s="48" t="n">
        <v>7.1</v>
      </c>
      <c r="C11" s="48" t="n">
        <v>9.48</v>
      </c>
      <c r="D11" s="48" t="n">
        <v>5.54</v>
      </c>
      <c r="E11" s="48" t="n">
        <f aca="false">'Unit Economics'!B11</f>
        <v>9.2875</v>
      </c>
      <c r="F11" s="48" t="n">
        <f aca="false">'Unit Economics'!B11</f>
        <v>9.2875</v>
      </c>
      <c r="G11" s="15" t="s">
        <v>129</v>
      </c>
      <c r="H11" s="15" t="s">
        <v>284</v>
      </c>
    </row>
    <row r="12" customFormat="false" ht="15" hidden="false" customHeight="false" outlineLevel="0" collapsed="false">
      <c r="A12" s="15" t="s">
        <v>285</v>
      </c>
      <c r="B12" s="48" t="n">
        <v>44</v>
      </c>
      <c r="C12" s="48" t="n">
        <v>85</v>
      </c>
      <c r="D12" s="48"/>
      <c r="E12" s="48"/>
      <c r="F12" s="48"/>
      <c r="G12" s="15" t="s">
        <v>151</v>
      </c>
      <c r="H12" s="15" t="s">
        <v>286</v>
      </c>
    </row>
    <row r="13" customFormat="false" ht="15" hidden="false" customHeight="false" outlineLevel="0" collapsed="false">
      <c r="A13" s="49" t="s">
        <v>287</v>
      </c>
      <c r="B13" s="50" t="n">
        <f aca="false">B11*B8</f>
        <v>42.6</v>
      </c>
      <c r="C13" s="50" t="n">
        <f aca="false">C11*C8</f>
        <v>56.88</v>
      </c>
      <c r="D13" s="50" t="n">
        <f aca="false">D11*D8</f>
        <v>33.24</v>
      </c>
      <c r="E13" s="50" t="n">
        <f aca="false">'Unit Economics'!B15</f>
        <v>55.725</v>
      </c>
      <c r="F13" s="50" t="n">
        <f aca="false">'Unit Economics'!B15</f>
        <v>55.725</v>
      </c>
      <c r="G13" s="49" t="s">
        <v>288</v>
      </c>
      <c r="H13" s="49" t="s">
        <v>289</v>
      </c>
    </row>
    <row r="14" customFormat="false" ht="15" hidden="false" customHeight="false" outlineLevel="0" collapsed="false">
      <c r="A14" s="49" t="s">
        <v>290</v>
      </c>
      <c r="B14" s="50"/>
      <c r="C14" s="50" t="n">
        <v>28</v>
      </c>
      <c r="D14" s="50"/>
      <c r="E14" s="50"/>
      <c r="F14" s="50"/>
      <c r="G14" s="49" t="s">
        <v>151</v>
      </c>
      <c r="H14" s="49" t="s">
        <v>291</v>
      </c>
    </row>
    <row r="15" customFormat="false" ht="15" hidden="false" customHeight="false" outlineLevel="0" collapsed="false">
      <c r="A15" s="49" t="s">
        <v>292</v>
      </c>
      <c r="B15" s="50" t="n">
        <f aca="false">B13/3</f>
        <v>14.2</v>
      </c>
      <c r="C15" s="50" t="n">
        <f aca="false">C13/3</f>
        <v>18.96</v>
      </c>
      <c r="D15" s="50" t="n">
        <f aca="false">D13/3</f>
        <v>11.08</v>
      </c>
      <c r="E15" s="50" t="n">
        <f aca="false">'Unit Economics'!B16</f>
        <v>18.575</v>
      </c>
      <c r="F15" s="50" t="n">
        <f aca="false">'Unit Economics'!B16</f>
        <v>18.575</v>
      </c>
      <c r="G15" s="49" t="s">
        <v>151</v>
      </c>
      <c r="H15" s="49" t="s">
        <v>293</v>
      </c>
    </row>
    <row r="16" customFormat="false" ht="15" hidden="false" customHeight="false" outlineLevel="0" collapsed="false">
      <c r="A16" s="15" t="s">
        <v>294</v>
      </c>
      <c r="B16" s="51"/>
      <c r="C16" s="51" t="n">
        <v>10</v>
      </c>
      <c r="D16" s="51" t="n">
        <v>13</v>
      </c>
      <c r="E16" s="51"/>
      <c r="F16" s="51"/>
      <c r="G16" s="15" t="s">
        <v>279</v>
      </c>
      <c r="H16" s="15" t="s">
        <v>295</v>
      </c>
    </row>
    <row r="17" customFormat="false" ht="15" hidden="false" customHeight="false" outlineLevel="0" collapsed="false">
      <c r="A17" s="52" t="s">
        <v>296</v>
      </c>
      <c r="B17" s="53" t="n">
        <f aca="false">CEILING(B9/B11,1)</f>
        <v>4</v>
      </c>
      <c r="C17" s="53" t="n">
        <f aca="false">CEILING(C9/C11,1)</f>
        <v>10</v>
      </c>
      <c r="D17" s="53" t="n">
        <f aca="false">CEILING(D9/D11,1)</f>
        <v>9</v>
      </c>
      <c r="E17" s="53" t="n">
        <f aca="false">'Unit Economics'!B13</f>
        <v>5</v>
      </c>
      <c r="F17" s="53" t="n">
        <f aca="false">'Unit Economics'!B14</f>
        <v>8</v>
      </c>
      <c r="G17" s="52" t="s">
        <v>279</v>
      </c>
      <c r="H17" s="52" t="s">
        <v>297</v>
      </c>
    </row>
    <row r="18" customFormat="false" ht="15" hidden="false" customHeight="false" outlineLevel="0" collapsed="false">
      <c r="A18" s="2"/>
      <c r="B18" s="2"/>
      <c r="C18" s="2"/>
      <c r="D18" s="2"/>
      <c r="E18" s="2"/>
      <c r="F18" s="2"/>
      <c r="G18" s="2"/>
      <c r="H18" s="2"/>
    </row>
    <row r="19" customFormat="false" ht="15" hidden="false" customHeight="false" outlineLevel="0" collapsed="false">
      <c r="A19" s="2"/>
      <c r="B19" s="2"/>
      <c r="C19" s="2"/>
      <c r="D19" s="2"/>
      <c r="E19" s="2"/>
      <c r="F19" s="2"/>
      <c r="G19" s="2"/>
      <c r="H19" s="2"/>
    </row>
    <row r="20" customFormat="false" ht="15" hidden="false" customHeight="true" outlineLevel="0" collapsed="false">
      <c r="A20" s="54" t="s">
        <v>298</v>
      </c>
      <c r="B20" s="54"/>
      <c r="C20" s="54"/>
      <c r="D20" s="54"/>
      <c r="E20" s="54"/>
      <c r="F20" s="54"/>
      <c r="G20" s="54"/>
      <c r="H20" s="54"/>
    </row>
    <row r="21" customFormat="false" ht="15" hidden="false" customHeight="false" outlineLevel="0" collapsed="false">
      <c r="A21" s="54"/>
      <c r="B21" s="54"/>
      <c r="C21" s="54"/>
      <c r="D21" s="54"/>
      <c r="E21" s="54"/>
      <c r="F21" s="54"/>
      <c r="G21" s="54"/>
      <c r="H21" s="54"/>
    </row>
    <row r="22" customFormat="false" ht="15" hidden="false" customHeight="false" outlineLevel="0" collapsed="false">
      <c r="A22" s="54"/>
      <c r="B22" s="54"/>
      <c r="C22" s="54"/>
      <c r="D22" s="54"/>
      <c r="E22" s="54"/>
      <c r="F22" s="54"/>
      <c r="G22" s="54"/>
      <c r="H22" s="54"/>
    </row>
    <row r="23" customFormat="false" ht="15" hidden="false" customHeight="false" outlineLevel="0" collapsed="false">
      <c r="A23" s="54"/>
      <c r="B23" s="54"/>
      <c r="C23" s="54"/>
      <c r="D23" s="54"/>
      <c r="E23" s="54"/>
      <c r="F23" s="54"/>
      <c r="G23" s="54"/>
      <c r="H23" s="54"/>
    </row>
  </sheetData>
  <mergeCells count="3">
    <mergeCell ref="A1:H1"/>
    <mergeCell ref="A2:H3"/>
    <mergeCell ref="A20:H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1"/>
    <col collapsed="false" customWidth="true" hidden="false" outlineLevel="0" max="13" min="2" style="0" width="13"/>
  </cols>
  <sheetData>
    <row r="1" customFormat="false" ht="33.75" hidden="false" customHeight="true" outlineLevel="0" collapsed="false">
      <c r="A1" s="1" t="s">
        <v>299</v>
      </c>
      <c r="B1" s="1"/>
      <c r="C1" s="1"/>
      <c r="D1" s="1"/>
      <c r="E1" s="1"/>
      <c r="F1" s="1"/>
      <c r="G1" s="1"/>
      <c r="H1" s="1"/>
      <c r="I1" s="1"/>
      <c r="J1" s="1"/>
      <c r="K1" s="1"/>
      <c r="L1" s="1"/>
      <c r="M1" s="1"/>
    </row>
    <row r="2" customFormat="false" ht="30" hidden="false" customHeight="true" outlineLevel="0" collapsed="false">
      <c r="A2" s="55" t="s">
        <v>300</v>
      </c>
      <c r="B2" s="55"/>
      <c r="C2" s="55"/>
      <c r="D2" s="55"/>
      <c r="E2" s="55"/>
      <c r="F2" s="55"/>
      <c r="G2" s="55"/>
      <c r="H2" s="55"/>
      <c r="I2" s="55"/>
      <c r="J2" s="55"/>
      <c r="K2" s="55"/>
      <c r="L2" s="55"/>
      <c r="M2" s="55"/>
    </row>
    <row r="3" customFormat="false" ht="18" hidden="false" customHeight="true" outlineLevel="0" collapsed="false">
      <c r="A3" s="4" t="s">
        <v>301</v>
      </c>
      <c r="B3" s="56" t="n">
        <v>1</v>
      </c>
      <c r="C3" s="56" t="n">
        <v>2</v>
      </c>
      <c r="D3" s="56" t="n">
        <v>3</v>
      </c>
      <c r="E3" s="56" t="n">
        <v>4</v>
      </c>
      <c r="F3" s="56" t="n">
        <v>5</v>
      </c>
      <c r="G3" s="56" t="n">
        <v>6</v>
      </c>
      <c r="H3" s="56" t="n">
        <v>7</v>
      </c>
      <c r="I3" s="56" t="n">
        <v>8</v>
      </c>
      <c r="J3" s="56" t="n">
        <v>9</v>
      </c>
      <c r="K3" s="56" t="n">
        <v>10</v>
      </c>
      <c r="L3" s="56" t="n">
        <v>11</v>
      </c>
      <c r="M3" s="56" t="n">
        <v>12</v>
      </c>
    </row>
    <row r="4" customFormat="false" ht="25.5" hidden="false" customHeight="true" outlineLevel="0" collapsed="false">
      <c r="A4" s="4" t="s">
        <v>2</v>
      </c>
      <c r="B4" s="57" t="n">
        <f aca="false">EDATE(Assumptions!$B$6,0)</f>
        <v>46266</v>
      </c>
      <c r="C4" s="57" t="n">
        <f aca="false">EDATE(Assumptions!$B$6,1)</f>
        <v>46296</v>
      </c>
      <c r="D4" s="57" t="n">
        <f aca="false">EDATE(Assumptions!$B$6,2)</f>
        <v>46327</v>
      </c>
      <c r="E4" s="57" t="n">
        <f aca="false">EDATE(Assumptions!$B$6,3)</f>
        <v>46357</v>
      </c>
      <c r="F4" s="57" t="n">
        <f aca="false">EDATE(Assumptions!$B$6,4)</f>
        <v>46388</v>
      </c>
      <c r="G4" s="57" t="n">
        <f aca="false">EDATE(Assumptions!$B$6,5)</f>
        <v>46419</v>
      </c>
      <c r="H4" s="57" t="n">
        <f aca="false">EDATE(Assumptions!$B$6,6)</f>
        <v>46447</v>
      </c>
      <c r="I4" s="57" t="n">
        <f aca="false">EDATE(Assumptions!$B$6,7)</f>
        <v>46478</v>
      </c>
      <c r="J4" s="57" t="n">
        <f aca="false">EDATE(Assumptions!$B$6,8)</f>
        <v>46508</v>
      </c>
      <c r="K4" s="57" t="n">
        <f aca="false">EDATE(Assumptions!$B$6,9)</f>
        <v>46539</v>
      </c>
      <c r="L4" s="57" t="n">
        <f aca="false">EDATE(Assumptions!$B$6,10)</f>
        <v>46569</v>
      </c>
      <c r="M4" s="57" t="n">
        <f aca="false">EDATE(Assumptions!$B$6,11)</f>
        <v>46600</v>
      </c>
    </row>
    <row r="5" customFormat="false" ht="15" hidden="false" customHeight="false" outlineLevel="0" collapsed="false">
      <c r="A5" s="2"/>
      <c r="B5" s="2"/>
      <c r="C5" s="2"/>
      <c r="D5" s="2"/>
      <c r="E5" s="2"/>
      <c r="F5" s="2"/>
      <c r="G5" s="2"/>
      <c r="H5" s="2"/>
      <c r="I5" s="2"/>
      <c r="J5" s="2"/>
      <c r="K5" s="2"/>
      <c r="L5" s="2"/>
      <c r="M5" s="2"/>
    </row>
    <row r="6" customFormat="false" ht="21.75" hidden="false" customHeight="true" outlineLevel="0" collapsed="false">
      <c r="A6" s="12" t="s">
        <v>302</v>
      </c>
      <c r="B6" s="12"/>
      <c r="C6" s="12"/>
      <c r="D6" s="12"/>
      <c r="E6" s="12"/>
      <c r="F6" s="12"/>
      <c r="G6" s="12"/>
      <c r="H6" s="12"/>
      <c r="I6" s="12"/>
      <c r="J6" s="12"/>
      <c r="K6" s="12"/>
      <c r="L6" s="12"/>
      <c r="M6" s="12"/>
    </row>
    <row r="7" customFormat="false" ht="15" hidden="false" customHeight="false" outlineLevel="0" collapsed="false">
      <c r="A7" s="13" t="s">
        <v>303</v>
      </c>
      <c r="B7" s="58" t="n">
        <f aca="false">MIN(B$3,Assumptions!$C$39)*Assumptions!$C$38</f>
        <v>10</v>
      </c>
      <c r="C7" s="58" t="n">
        <f aca="false">MIN(C$3,Assumptions!$C$39)*Assumptions!$C$38</f>
        <v>20</v>
      </c>
      <c r="D7" s="58" t="n">
        <f aca="false">MIN(D$3,Assumptions!$C$39)*Assumptions!$C$38</f>
        <v>30</v>
      </c>
      <c r="E7" s="58" t="n">
        <f aca="false">MIN(E$3,Assumptions!$C$39)*Assumptions!$C$38</f>
        <v>40</v>
      </c>
      <c r="F7" s="58" t="n">
        <f aca="false">MIN(F$3,Assumptions!$C$39)*Assumptions!$C$38</f>
        <v>50</v>
      </c>
      <c r="G7" s="58" t="n">
        <f aca="false">MIN(G$3,Assumptions!$C$39)*Assumptions!$C$38</f>
        <v>60</v>
      </c>
      <c r="H7" s="58" t="n">
        <f aca="false">MIN(H$3,Assumptions!$C$39)*Assumptions!$C$38</f>
        <v>60</v>
      </c>
      <c r="I7" s="58" t="n">
        <f aca="false">MIN(I$3,Assumptions!$C$39)*Assumptions!$C$38</f>
        <v>60</v>
      </c>
      <c r="J7" s="58" t="n">
        <f aca="false">MIN(J$3,Assumptions!$C$39)*Assumptions!$C$38</f>
        <v>60</v>
      </c>
      <c r="K7" s="58" t="n">
        <f aca="false">MIN(K$3,Assumptions!$C$39)*Assumptions!$C$38</f>
        <v>60</v>
      </c>
      <c r="L7" s="58" t="n">
        <f aca="false">MIN(L$3,Assumptions!$C$39)*Assumptions!$C$38</f>
        <v>60</v>
      </c>
      <c r="M7" s="58" t="n">
        <f aca="false">MIN(M$3,Assumptions!$C$39)*Assumptions!$C$38</f>
        <v>60</v>
      </c>
    </row>
    <row r="8" customFormat="false" ht="15" hidden="false" customHeight="false" outlineLevel="0" collapsed="false">
      <c r="A8" s="15" t="s">
        <v>304</v>
      </c>
      <c r="B8" s="59" t="n">
        <f aca="false">B7*Assumptions!$C$36</f>
        <v>149.9</v>
      </c>
      <c r="C8" s="59" t="n">
        <f aca="false">C7*Assumptions!$C$36</f>
        <v>299.8</v>
      </c>
      <c r="D8" s="59" t="n">
        <f aca="false">D7*Assumptions!$C$36</f>
        <v>449.7</v>
      </c>
      <c r="E8" s="59" t="n">
        <f aca="false">E7*Assumptions!$C$36</f>
        <v>599.6</v>
      </c>
      <c r="F8" s="59" t="n">
        <f aca="false">F7*Assumptions!$C$36</f>
        <v>749.5</v>
      </c>
      <c r="G8" s="59" t="n">
        <f aca="false">G7*Assumptions!$C$36</f>
        <v>899.4</v>
      </c>
      <c r="H8" s="59" t="n">
        <f aca="false">H7*Assumptions!$C$36</f>
        <v>899.4</v>
      </c>
      <c r="I8" s="59" t="n">
        <f aca="false">I7*Assumptions!$C$36</f>
        <v>899.4</v>
      </c>
      <c r="J8" s="59" t="n">
        <f aca="false">J7*Assumptions!$C$36</f>
        <v>899.4</v>
      </c>
      <c r="K8" s="59" t="n">
        <f aca="false">K7*Assumptions!$C$36</f>
        <v>899.4</v>
      </c>
      <c r="L8" s="59" t="n">
        <f aca="false">L7*Assumptions!$C$36</f>
        <v>899.4</v>
      </c>
      <c r="M8" s="59" t="n">
        <f aca="false">M7*Assumptions!$C$36</f>
        <v>899.4</v>
      </c>
    </row>
    <row r="9" customFormat="false" ht="15" hidden="false" customHeight="false" outlineLevel="0" collapsed="false">
      <c r="A9" s="15" t="s">
        <v>305</v>
      </c>
      <c r="B9" s="59" t="n">
        <f aca="false">B7*Assumptions!$C$41</f>
        <v>94.8</v>
      </c>
      <c r="C9" s="59" t="n">
        <f aca="false">C7*Assumptions!$C$41</f>
        <v>189.6</v>
      </c>
      <c r="D9" s="59" t="n">
        <f aca="false">D7*Assumptions!$C$41</f>
        <v>284.4</v>
      </c>
      <c r="E9" s="59" t="n">
        <f aca="false">E7*Assumptions!$C$41</f>
        <v>379.2</v>
      </c>
      <c r="F9" s="59" t="n">
        <f aca="false">F7*Assumptions!$C$41</f>
        <v>474</v>
      </c>
      <c r="G9" s="59" t="n">
        <f aca="false">G7*Assumptions!$C$41</f>
        <v>568.8</v>
      </c>
      <c r="H9" s="59" t="n">
        <f aca="false">H7*Assumptions!$C$41</f>
        <v>568.8</v>
      </c>
      <c r="I9" s="59" t="n">
        <f aca="false">I7*Assumptions!$C$41</f>
        <v>568.8</v>
      </c>
      <c r="J9" s="59" t="n">
        <f aca="false">J7*Assumptions!$C$41</f>
        <v>568.8</v>
      </c>
      <c r="K9" s="59" t="n">
        <f aca="false">K7*Assumptions!$C$41</f>
        <v>568.8</v>
      </c>
      <c r="L9" s="59" t="n">
        <f aca="false">L7*Assumptions!$C$41</f>
        <v>568.8</v>
      </c>
      <c r="M9" s="59" t="n">
        <f aca="false">M7*Assumptions!$C$41</f>
        <v>568.8</v>
      </c>
    </row>
    <row r="10" customFormat="false" ht="15" hidden="false" customHeight="false" outlineLevel="0" collapsed="false">
      <c r="A10" s="15" t="s">
        <v>24</v>
      </c>
      <c r="B10" s="59" t="n">
        <f aca="false">Assumptions!$C$40</f>
        <v>94</v>
      </c>
      <c r="C10" s="59" t="n">
        <f aca="false">Assumptions!$C$40</f>
        <v>94</v>
      </c>
      <c r="D10" s="59" t="n">
        <f aca="false">Assumptions!$C$40</f>
        <v>94</v>
      </c>
      <c r="E10" s="59" t="n">
        <f aca="false">Assumptions!$C$40</f>
        <v>94</v>
      </c>
      <c r="F10" s="59" t="n">
        <f aca="false">Assumptions!$C$40</f>
        <v>94</v>
      </c>
      <c r="G10" s="59" t="n">
        <f aca="false">Assumptions!$C$40</f>
        <v>94</v>
      </c>
      <c r="H10" s="59" t="n">
        <f aca="false">Assumptions!$C$40</f>
        <v>94</v>
      </c>
      <c r="I10" s="59" t="n">
        <f aca="false">Assumptions!$C$40</f>
        <v>94</v>
      </c>
      <c r="J10" s="59" t="n">
        <f aca="false">Assumptions!$C$40</f>
        <v>94</v>
      </c>
      <c r="K10" s="59" t="n">
        <f aca="false">Assumptions!$C$40</f>
        <v>94</v>
      </c>
      <c r="L10" s="59" t="n">
        <f aca="false">Assumptions!$C$40</f>
        <v>94</v>
      </c>
      <c r="M10" s="59" t="n">
        <f aca="false">Assumptions!$C$40</f>
        <v>94</v>
      </c>
    </row>
    <row r="11" customFormat="false" ht="15" hidden="false" customHeight="false" outlineLevel="0" collapsed="false">
      <c r="A11" s="15" t="s">
        <v>306</v>
      </c>
      <c r="B11" s="59" t="n">
        <f aca="false">B9-B10</f>
        <v>0.800000000000011</v>
      </c>
      <c r="C11" s="59" t="n">
        <f aca="false">C9-C10</f>
        <v>95.6</v>
      </c>
      <c r="D11" s="59" t="n">
        <f aca="false">D9-D10</f>
        <v>190.4</v>
      </c>
      <c r="E11" s="59" t="n">
        <f aca="false">E9-E10</f>
        <v>285.2</v>
      </c>
      <c r="F11" s="59" t="n">
        <f aca="false">F9-F10</f>
        <v>380</v>
      </c>
      <c r="G11" s="59" t="n">
        <f aca="false">G9-G10</f>
        <v>474.8</v>
      </c>
      <c r="H11" s="59" t="n">
        <f aca="false">H9-H10</f>
        <v>474.8</v>
      </c>
      <c r="I11" s="59" t="n">
        <f aca="false">I9-I10</f>
        <v>474.8</v>
      </c>
      <c r="J11" s="59" t="n">
        <f aca="false">J9-J10</f>
        <v>474.8</v>
      </c>
      <c r="K11" s="59" t="n">
        <f aca="false">K9-K10</f>
        <v>474.8</v>
      </c>
      <c r="L11" s="59" t="n">
        <f aca="false">L9-L10</f>
        <v>474.8</v>
      </c>
      <c r="M11" s="59" t="n">
        <f aca="false">M9-M10</f>
        <v>474.8</v>
      </c>
    </row>
    <row r="12" customFormat="false" ht="15" hidden="false" customHeight="false" outlineLevel="0" collapsed="false">
      <c r="A12" s="17" t="s">
        <v>307</v>
      </c>
      <c r="B12" s="60" t="n">
        <f aca="false">SUM($B$11:B11)</f>
        <v>0.800000000000011</v>
      </c>
      <c r="C12" s="60" t="n">
        <f aca="false">SUM($B$11:C11)</f>
        <v>96.4</v>
      </c>
      <c r="D12" s="60" t="n">
        <f aca="false">SUM($B$11:D11)</f>
        <v>286.8</v>
      </c>
      <c r="E12" s="60" t="n">
        <f aca="false">SUM($B$11:E11)</f>
        <v>572</v>
      </c>
      <c r="F12" s="60" t="n">
        <f aca="false">SUM($B$11:F11)</f>
        <v>952</v>
      </c>
      <c r="G12" s="60" t="n">
        <f aca="false">SUM($B$11:G11)</f>
        <v>1426.8</v>
      </c>
      <c r="H12" s="60" t="n">
        <f aca="false">SUM($B$11:H11)</f>
        <v>1901.6</v>
      </c>
      <c r="I12" s="60" t="n">
        <f aca="false">SUM($B$11:I11)</f>
        <v>2376.4</v>
      </c>
      <c r="J12" s="60" t="n">
        <f aca="false">SUM($B$11:J11)</f>
        <v>2851.2</v>
      </c>
      <c r="K12" s="60" t="n">
        <f aca="false">SUM($B$11:K11)</f>
        <v>3326</v>
      </c>
      <c r="L12" s="60" t="n">
        <f aca="false">SUM($B$11:L11)</f>
        <v>3800.8</v>
      </c>
      <c r="M12" s="60" t="n">
        <f aca="false">SUM($B$11:M11)</f>
        <v>4275.6</v>
      </c>
    </row>
    <row r="13" customFormat="false" ht="15" hidden="false" customHeight="false" outlineLevel="0" collapsed="false">
      <c r="A13" s="2"/>
      <c r="B13" s="2"/>
      <c r="C13" s="2"/>
      <c r="D13" s="2"/>
      <c r="E13" s="2"/>
      <c r="F13" s="2"/>
      <c r="G13" s="2"/>
      <c r="H13" s="2"/>
      <c r="I13" s="2"/>
      <c r="J13" s="2"/>
      <c r="K13" s="2"/>
      <c r="L13" s="2"/>
      <c r="M13" s="2"/>
    </row>
    <row r="14" customFormat="false" ht="15" hidden="false" customHeight="false" outlineLevel="0" collapsed="false">
      <c r="A14" s="2"/>
      <c r="B14" s="2"/>
      <c r="C14" s="2"/>
      <c r="D14" s="2"/>
      <c r="E14" s="2"/>
      <c r="F14" s="2"/>
      <c r="G14" s="2"/>
      <c r="H14" s="2"/>
      <c r="I14" s="2"/>
      <c r="J14" s="2"/>
      <c r="K14" s="2"/>
      <c r="L14" s="2"/>
      <c r="M14" s="2"/>
    </row>
    <row r="15" customFormat="false" ht="21.75" hidden="false" customHeight="true" outlineLevel="0" collapsed="false">
      <c r="A15" s="12" t="s">
        <v>308</v>
      </c>
      <c r="B15" s="12"/>
      <c r="C15" s="12"/>
      <c r="D15" s="12"/>
      <c r="E15" s="12"/>
      <c r="F15" s="12"/>
      <c r="G15" s="12"/>
      <c r="H15" s="12"/>
      <c r="I15" s="12"/>
      <c r="J15" s="12"/>
      <c r="K15" s="12"/>
      <c r="L15" s="12"/>
      <c r="M15" s="12"/>
    </row>
    <row r="16" customFormat="false" ht="15" hidden="false" customHeight="false" outlineLevel="0" collapsed="false">
      <c r="A16" s="13" t="s">
        <v>309</v>
      </c>
      <c r="B16" s="58" t="n">
        <f aca="false">Assumptions!$B$9</f>
        <v>500</v>
      </c>
      <c r="C16" s="58" t="n">
        <f aca="false">Assumptions!$B$9</f>
        <v>500</v>
      </c>
      <c r="D16" s="58" t="n">
        <f aca="false">Assumptions!$B$9</f>
        <v>500</v>
      </c>
      <c r="E16" s="58" t="n">
        <f aca="false">Assumptions!$B$9</f>
        <v>500</v>
      </c>
      <c r="F16" s="58" t="n">
        <f aca="false">Assumptions!$B$9</f>
        <v>500</v>
      </c>
      <c r="G16" s="58" t="n">
        <f aca="false">Assumptions!$B$9</f>
        <v>500</v>
      </c>
      <c r="H16" s="58" t="n">
        <f aca="false">Assumptions!$B$9</f>
        <v>500</v>
      </c>
      <c r="I16" s="58" t="n">
        <f aca="false">Assumptions!$B$9</f>
        <v>500</v>
      </c>
      <c r="J16" s="58" t="n">
        <f aca="false">Assumptions!$B$9</f>
        <v>500</v>
      </c>
      <c r="K16" s="58" t="n">
        <f aca="false">Assumptions!$B$9</f>
        <v>500</v>
      </c>
      <c r="L16" s="58" t="n">
        <f aca="false">Assumptions!$B$9</f>
        <v>500</v>
      </c>
      <c r="M16" s="58" t="n">
        <f aca="false">Assumptions!$B$9</f>
        <v>500</v>
      </c>
    </row>
    <row r="17" customFormat="false" ht="15" hidden="false" customHeight="false" outlineLevel="0" collapsed="false">
      <c r="A17" s="15" t="s">
        <v>310</v>
      </c>
      <c r="B17" s="61" t="n">
        <f aca="false">IF(B$3&lt;=Assumptions!$B$12,0,Assumptions!$B$10)</f>
        <v>0</v>
      </c>
      <c r="C17" s="61" t="n">
        <f aca="false">IF(C$3&lt;=Assumptions!$B$12,0,Assumptions!$B$10)</f>
        <v>10</v>
      </c>
      <c r="D17" s="61" t="n">
        <f aca="false">IF(D$3&lt;=Assumptions!$B$12,0,Assumptions!$B$10)</f>
        <v>10</v>
      </c>
      <c r="E17" s="61" t="n">
        <f aca="false">IF(E$3&lt;=Assumptions!$B$12,0,Assumptions!$B$10)</f>
        <v>10</v>
      </c>
      <c r="F17" s="61" t="n">
        <f aca="false">IF(F$3&lt;=Assumptions!$B$12,0,Assumptions!$B$10)</f>
        <v>10</v>
      </c>
      <c r="G17" s="61" t="n">
        <f aca="false">IF(G$3&lt;=Assumptions!$B$12,0,Assumptions!$B$10)</f>
        <v>10</v>
      </c>
      <c r="H17" s="61" t="n">
        <f aca="false">IF(H$3&lt;=Assumptions!$B$12,0,Assumptions!$B$10)</f>
        <v>10</v>
      </c>
      <c r="I17" s="61" t="n">
        <f aca="false">IF(I$3&lt;=Assumptions!$B$12,0,Assumptions!$B$10)</f>
        <v>10</v>
      </c>
      <c r="J17" s="61" t="n">
        <f aca="false">IF(J$3&lt;=Assumptions!$B$12,0,Assumptions!$B$10)</f>
        <v>10</v>
      </c>
      <c r="K17" s="61" t="n">
        <f aca="false">IF(K$3&lt;=Assumptions!$B$12,0,Assumptions!$B$10)</f>
        <v>10</v>
      </c>
      <c r="L17" s="61" t="n">
        <f aca="false">IF(L$3&lt;=Assumptions!$B$12,0,Assumptions!$B$10)</f>
        <v>10</v>
      </c>
      <c r="M17" s="61" t="n">
        <f aca="false">IF(M$3&lt;=Assumptions!$B$12,0,Assumptions!$B$10)</f>
        <v>10</v>
      </c>
    </row>
    <row r="18" customFormat="false" ht="15" hidden="false" customHeight="false" outlineLevel="0" collapsed="false">
      <c r="A18" s="15" t="s">
        <v>303</v>
      </c>
      <c r="B18" s="61" t="n">
        <f aca="false">MIN(MAX(B$3-Assumptions!$B$12,0),Assumptions!$B$11)*Assumptions!$B$10</f>
        <v>0</v>
      </c>
      <c r="C18" s="61" t="n">
        <f aca="false">MIN(MAX(C$3-Assumptions!$B$12,0),Assumptions!$B$11)*Assumptions!$B$10</f>
        <v>10</v>
      </c>
      <c r="D18" s="61" t="n">
        <f aca="false">MIN(MAX(D$3-Assumptions!$B$12,0),Assumptions!$B$11)*Assumptions!$B$10</f>
        <v>20</v>
      </c>
      <c r="E18" s="61" t="n">
        <f aca="false">MIN(MAX(E$3-Assumptions!$B$12,0),Assumptions!$B$11)*Assumptions!$B$10</f>
        <v>30</v>
      </c>
      <c r="F18" s="61" t="n">
        <f aca="false">MIN(MAX(F$3-Assumptions!$B$12,0),Assumptions!$B$11)*Assumptions!$B$10</f>
        <v>40</v>
      </c>
      <c r="G18" s="61" t="n">
        <f aca="false">MIN(MAX(G$3-Assumptions!$B$12,0),Assumptions!$B$11)*Assumptions!$B$10</f>
        <v>50</v>
      </c>
      <c r="H18" s="61" t="n">
        <f aca="false">MIN(MAX(H$3-Assumptions!$B$12,0),Assumptions!$B$11)*Assumptions!$B$10</f>
        <v>60</v>
      </c>
      <c r="I18" s="61" t="n">
        <f aca="false">MIN(MAX(I$3-Assumptions!$B$12,0),Assumptions!$B$11)*Assumptions!$B$10</f>
        <v>60</v>
      </c>
      <c r="J18" s="61" t="n">
        <f aca="false">MIN(MAX(J$3-Assumptions!$B$12,0),Assumptions!$B$11)*Assumptions!$B$10</f>
        <v>60</v>
      </c>
      <c r="K18" s="61" t="n">
        <f aca="false">MIN(MAX(K$3-Assumptions!$B$12,0),Assumptions!$B$11)*Assumptions!$B$10</f>
        <v>60</v>
      </c>
      <c r="L18" s="61" t="n">
        <f aca="false">MIN(MAX(L$3-Assumptions!$B$12,0),Assumptions!$B$11)*Assumptions!$B$10</f>
        <v>60</v>
      </c>
      <c r="M18" s="61" t="n">
        <f aca="false">MIN(MAX(M$3-Assumptions!$B$12,0),Assumptions!$B$11)*Assumptions!$B$10</f>
        <v>60</v>
      </c>
    </row>
    <row r="19" customFormat="false" ht="15" hidden="false" customHeight="false" outlineLevel="0" collapsed="false">
      <c r="A19" s="15" t="s">
        <v>304</v>
      </c>
      <c r="B19" s="59" t="n">
        <f aca="false">B18*Assumptions!$B$13</f>
        <v>0</v>
      </c>
      <c r="C19" s="59" t="n">
        <f aca="false">C18*Assumptions!$B$13</f>
        <v>100</v>
      </c>
      <c r="D19" s="59" t="n">
        <f aca="false">D18*Assumptions!$B$13</f>
        <v>200</v>
      </c>
      <c r="E19" s="59" t="n">
        <f aca="false">E18*Assumptions!$B$13</f>
        <v>300</v>
      </c>
      <c r="F19" s="59" t="n">
        <f aca="false">F18*Assumptions!$B$13</f>
        <v>400</v>
      </c>
      <c r="G19" s="59" t="n">
        <f aca="false">G18*Assumptions!$B$13</f>
        <v>500</v>
      </c>
      <c r="H19" s="59" t="n">
        <f aca="false">H18*Assumptions!$B$13</f>
        <v>600</v>
      </c>
      <c r="I19" s="59" t="n">
        <f aca="false">I18*Assumptions!$B$13</f>
        <v>600</v>
      </c>
      <c r="J19" s="59" t="n">
        <f aca="false">J18*Assumptions!$B$13</f>
        <v>600</v>
      </c>
      <c r="K19" s="59" t="n">
        <f aca="false">K18*Assumptions!$B$13</f>
        <v>600</v>
      </c>
      <c r="L19" s="59" t="n">
        <f aca="false">L18*Assumptions!$B$13</f>
        <v>600</v>
      </c>
      <c r="M19" s="59" t="n">
        <f aca="false">M18*Assumptions!$B$13</f>
        <v>600</v>
      </c>
    </row>
    <row r="20" customFormat="false" ht="15" hidden="false" customHeight="false" outlineLevel="0" collapsed="false">
      <c r="A20" s="15" t="s">
        <v>311</v>
      </c>
      <c r="B20" s="59" t="n">
        <f aca="false">B18*(Assumptions!$B$13*Assumptions!$B$17+Assumptions!$B$18+Assumptions!$B$13*Assumptions!$B$19)</f>
        <v>0</v>
      </c>
      <c r="C20" s="59" t="n">
        <f aca="false">C18*(Assumptions!$B$13*Assumptions!$B$17+Assumptions!$B$18+Assumptions!$B$13*Assumptions!$B$19)</f>
        <v>6.6</v>
      </c>
      <c r="D20" s="59" t="n">
        <f aca="false">D18*(Assumptions!$B$13*Assumptions!$B$17+Assumptions!$B$18+Assumptions!$B$13*Assumptions!$B$19)</f>
        <v>13.2</v>
      </c>
      <c r="E20" s="59" t="n">
        <f aca="false">E18*(Assumptions!$B$13*Assumptions!$B$17+Assumptions!$B$18+Assumptions!$B$13*Assumptions!$B$19)</f>
        <v>19.8</v>
      </c>
      <c r="F20" s="59" t="n">
        <f aca="false">F18*(Assumptions!$B$13*Assumptions!$B$17+Assumptions!$B$18+Assumptions!$B$13*Assumptions!$B$19)</f>
        <v>26.4</v>
      </c>
      <c r="G20" s="59" t="n">
        <f aca="false">G18*(Assumptions!$B$13*Assumptions!$B$17+Assumptions!$B$18+Assumptions!$B$13*Assumptions!$B$19)</f>
        <v>33</v>
      </c>
      <c r="H20" s="59" t="n">
        <f aca="false">H18*(Assumptions!$B$13*Assumptions!$B$17+Assumptions!$B$18+Assumptions!$B$13*Assumptions!$B$19)</f>
        <v>39.6</v>
      </c>
      <c r="I20" s="59" t="n">
        <f aca="false">I18*(Assumptions!$B$13*Assumptions!$B$17+Assumptions!$B$18+Assumptions!$B$13*Assumptions!$B$19)</f>
        <v>39.6</v>
      </c>
      <c r="J20" s="59" t="n">
        <f aca="false">J18*(Assumptions!$B$13*Assumptions!$B$17+Assumptions!$B$18+Assumptions!$B$13*Assumptions!$B$19)</f>
        <v>39.6</v>
      </c>
      <c r="K20" s="59" t="n">
        <f aca="false">K18*(Assumptions!$B$13*Assumptions!$B$17+Assumptions!$B$18+Assumptions!$B$13*Assumptions!$B$19)</f>
        <v>39.6</v>
      </c>
      <c r="L20" s="59" t="n">
        <f aca="false">L18*(Assumptions!$B$13*Assumptions!$B$17+Assumptions!$B$18+Assumptions!$B$13*Assumptions!$B$19)</f>
        <v>39.6</v>
      </c>
      <c r="M20" s="59" t="n">
        <f aca="false">M18*(Assumptions!$B$13*Assumptions!$B$17+Assumptions!$B$18+Assumptions!$B$13*Assumptions!$B$19)</f>
        <v>39.6</v>
      </c>
    </row>
    <row r="21" customFormat="false" ht="15" hidden="false" customHeight="false" outlineLevel="0" collapsed="false">
      <c r="A21" s="15" t="s">
        <v>312</v>
      </c>
      <c r="B21" s="59" t="n">
        <f aca="false">(B18+B16)*Assumptions!$B$14*(Assumptions!$B$15/1000000*IF(B$4&lt;Assumptions!$B$24,Assumptions!$B$20,Assumptions!$B$22)+Assumptions!$B$16/1000000*IF(B$4&lt;Assumptions!$B$24,Assumptions!$B$21,Assumptions!$B$23))</f>
        <v>13.125</v>
      </c>
      <c r="C21" s="59" t="n">
        <f aca="false">(C18+C16)*Assumptions!$B$14*(Assumptions!$B$15/1000000*IF(C$4&lt;Assumptions!$B$24,Assumptions!$B$20,Assumptions!$B$22)+Assumptions!$B$16/1000000*IF(C$4&lt;Assumptions!$B$24,Assumptions!$B$21,Assumptions!$B$23))</f>
        <v>13.3875</v>
      </c>
      <c r="D21" s="59" t="n">
        <f aca="false">(D18+D16)*Assumptions!$B$14*(Assumptions!$B$15/1000000*IF(D$4&lt;Assumptions!$B$24,Assumptions!$B$20,Assumptions!$B$22)+Assumptions!$B$16/1000000*IF(D$4&lt;Assumptions!$B$24,Assumptions!$B$21,Assumptions!$B$23))</f>
        <v>13.65</v>
      </c>
      <c r="E21" s="59" t="n">
        <f aca="false">(E18+E16)*Assumptions!$B$14*(Assumptions!$B$15/1000000*IF(E$4&lt;Assumptions!$B$24,Assumptions!$B$20,Assumptions!$B$22)+Assumptions!$B$16/1000000*IF(E$4&lt;Assumptions!$B$24,Assumptions!$B$21,Assumptions!$B$23))</f>
        <v>13.9125</v>
      </c>
      <c r="F21" s="59" t="n">
        <f aca="false">(F18+F16)*Assumptions!$B$14*(Assumptions!$B$15/1000000*IF(F$4&lt;Assumptions!$B$24,Assumptions!$B$20,Assumptions!$B$22)+Assumptions!$B$16/1000000*IF(F$4&lt;Assumptions!$B$24,Assumptions!$B$21,Assumptions!$B$23))</f>
        <v>28.35</v>
      </c>
      <c r="G21" s="59" t="n">
        <f aca="false">(G18+G16)*Assumptions!$B$14*(Assumptions!$B$15/1000000*IF(G$4&lt;Assumptions!$B$24,Assumptions!$B$20,Assumptions!$B$22)+Assumptions!$B$16/1000000*IF(G$4&lt;Assumptions!$B$24,Assumptions!$B$21,Assumptions!$B$23))</f>
        <v>28.875</v>
      </c>
      <c r="H21" s="59" t="n">
        <f aca="false">(H18+H16)*Assumptions!$B$14*(Assumptions!$B$15/1000000*IF(H$4&lt;Assumptions!$B$24,Assumptions!$B$20,Assumptions!$B$22)+Assumptions!$B$16/1000000*IF(H$4&lt;Assumptions!$B$24,Assumptions!$B$21,Assumptions!$B$23))</f>
        <v>29.4</v>
      </c>
      <c r="I21" s="59" t="n">
        <f aca="false">(I18+I16)*Assumptions!$B$14*(Assumptions!$B$15/1000000*IF(I$4&lt;Assumptions!$B$24,Assumptions!$B$20,Assumptions!$B$22)+Assumptions!$B$16/1000000*IF(I$4&lt;Assumptions!$B$24,Assumptions!$B$21,Assumptions!$B$23))</f>
        <v>29.4</v>
      </c>
      <c r="J21" s="59" t="n">
        <f aca="false">(J18+J16)*Assumptions!$B$14*(Assumptions!$B$15/1000000*IF(J$4&lt;Assumptions!$B$24,Assumptions!$B$20,Assumptions!$B$22)+Assumptions!$B$16/1000000*IF(J$4&lt;Assumptions!$B$24,Assumptions!$B$21,Assumptions!$B$23))</f>
        <v>29.4</v>
      </c>
      <c r="K21" s="59" t="n">
        <f aca="false">(K18+K16)*Assumptions!$B$14*(Assumptions!$B$15/1000000*IF(K$4&lt;Assumptions!$B$24,Assumptions!$B$20,Assumptions!$B$22)+Assumptions!$B$16/1000000*IF(K$4&lt;Assumptions!$B$24,Assumptions!$B$21,Assumptions!$B$23))</f>
        <v>29.4</v>
      </c>
      <c r="L21" s="59" t="n">
        <f aca="false">(L18+L16)*Assumptions!$B$14*(Assumptions!$B$15/1000000*IF(L$4&lt;Assumptions!$B$24,Assumptions!$B$20,Assumptions!$B$22)+Assumptions!$B$16/1000000*IF(L$4&lt;Assumptions!$B$24,Assumptions!$B$21,Assumptions!$B$23))</f>
        <v>29.4</v>
      </c>
      <c r="M21" s="59" t="n">
        <f aca="false">(M18+M16)*Assumptions!$B$14*(Assumptions!$B$15/1000000*IF(M$4&lt;Assumptions!$B$24,Assumptions!$B$20,Assumptions!$B$22)+Assumptions!$B$16/1000000*IF(M$4&lt;Assumptions!$B$24,Assumptions!$B$21,Assumptions!$B$23))</f>
        <v>29.4</v>
      </c>
    </row>
    <row r="22" customFormat="false" ht="15" hidden="false" customHeight="false" outlineLevel="0" collapsed="false">
      <c r="A22" s="15" t="s">
        <v>313</v>
      </c>
      <c r="B22" s="59" t="n">
        <f aca="false">SUM(B20:B21)</f>
        <v>13.125</v>
      </c>
      <c r="C22" s="59" t="n">
        <f aca="false">SUM(C20:C21)</f>
        <v>19.9875</v>
      </c>
      <c r="D22" s="59" t="n">
        <f aca="false">SUM(D20:D21)</f>
        <v>26.85</v>
      </c>
      <c r="E22" s="59" t="n">
        <f aca="false">SUM(E20:E21)</f>
        <v>33.7125</v>
      </c>
      <c r="F22" s="59" t="n">
        <f aca="false">SUM(F20:F21)</f>
        <v>54.75</v>
      </c>
      <c r="G22" s="59" t="n">
        <f aca="false">SUM(G20:G21)</f>
        <v>61.875</v>
      </c>
      <c r="H22" s="59" t="n">
        <f aca="false">SUM(H20:H21)</f>
        <v>69</v>
      </c>
      <c r="I22" s="59" t="n">
        <f aca="false">SUM(I20:I21)</f>
        <v>69</v>
      </c>
      <c r="J22" s="59" t="n">
        <f aca="false">SUM(J20:J21)</f>
        <v>69</v>
      </c>
      <c r="K22" s="59" t="n">
        <f aca="false">SUM(K20:K21)</f>
        <v>69</v>
      </c>
      <c r="L22" s="59" t="n">
        <f aca="false">SUM(L20:L21)</f>
        <v>69</v>
      </c>
      <c r="M22" s="59" t="n">
        <f aca="false">SUM(M20:M21)</f>
        <v>69</v>
      </c>
    </row>
    <row r="23" customFormat="false" ht="15" hidden="false" customHeight="false" outlineLevel="0" collapsed="false">
      <c r="A23" s="15" t="s">
        <v>305</v>
      </c>
      <c r="B23" s="59" t="n">
        <f aca="false">B19-B22</f>
        <v>-13.125</v>
      </c>
      <c r="C23" s="59" t="n">
        <f aca="false">C19-C22</f>
        <v>80.0125</v>
      </c>
      <c r="D23" s="59" t="n">
        <f aca="false">D19-D22</f>
        <v>173.15</v>
      </c>
      <c r="E23" s="59" t="n">
        <f aca="false">E19-E22</f>
        <v>266.2875</v>
      </c>
      <c r="F23" s="59" t="n">
        <f aca="false">F19-F22</f>
        <v>345.25</v>
      </c>
      <c r="G23" s="59" t="n">
        <f aca="false">G19-G22</f>
        <v>438.125</v>
      </c>
      <c r="H23" s="59" t="n">
        <f aca="false">H19-H22</f>
        <v>531</v>
      </c>
      <c r="I23" s="59" t="n">
        <f aca="false">I19-I22</f>
        <v>531</v>
      </c>
      <c r="J23" s="59" t="n">
        <f aca="false">J19-J22</f>
        <v>531</v>
      </c>
      <c r="K23" s="59" t="n">
        <f aca="false">K19-K22</f>
        <v>531</v>
      </c>
      <c r="L23" s="59" t="n">
        <f aca="false">L19-L22</f>
        <v>531</v>
      </c>
      <c r="M23" s="59" t="n">
        <f aca="false">M19-M22</f>
        <v>531</v>
      </c>
    </row>
    <row r="24" customFormat="false" ht="15" hidden="false" customHeight="false" outlineLevel="0" collapsed="false">
      <c r="A24" s="15" t="s">
        <v>24</v>
      </c>
      <c r="B24" s="59" t="n">
        <f aca="false">Assumptions!$B$28</f>
        <v>45</v>
      </c>
      <c r="C24" s="59" t="n">
        <f aca="false">Assumptions!$B$28</f>
        <v>45</v>
      </c>
      <c r="D24" s="59" t="n">
        <f aca="false">Assumptions!$B$28</f>
        <v>45</v>
      </c>
      <c r="E24" s="59" t="n">
        <f aca="false">Assumptions!$B$28</f>
        <v>45</v>
      </c>
      <c r="F24" s="59" t="n">
        <f aca="false">Assumptions!$B$28</f>
        <v>45</v>
      </c>
      <c r="G24" s="59" t="n">
        <f aca="false">Assumptions!$B$28</f>
        <v>45</v>
      </c>
      <c r="H24" s="59" t="n">
        <f aca="false">Assumptions!$B$28</f>
        <v>45</v>
      </c>
      <c r="I24" s="59" t="n">
        <f aca="false">Assumptions!$B$28</f>
        <v>45</v>
      </c>
      <c r="J24" s="59" t="n">
        <f aca="false">Assumptions!$B$28</f>
        <v>45</v>
      </c>
      <c r="K24" s="59" t="n">
        <f aca="false">Assumptions!$B$28</f>
        <v>45</v>
      </c>
      <c r="L24" s="59" t="n">
        <f aca="false">Assumptions!$B$28</f>
        <v>45</v>
      </c>
      <c r="M24" s="59" t="n">
        <f aca="false">Assumptions!$B$28</f>
        <v>45</v>
      </c>
    </row>
    <row r="25" customFormat="false" ht="15" hidden="false" customHeight="false" outlineLevel="0" collapsed="false">
      <c r="A25" s="15" t="s">
        <v>314</v>
      </c>
      <c r="B25" s="59" t="n">
        <v>0</v>
      </c>
      <c r="C25" s="59" t="n">
        <v>0</v>
      </c>
      <c r="D25" s="59" t="n">
        <v>0</v>
      </c>
      <c r="E25" s="59" t="n">
        <v>0</v>
      </c>
      <c r="F25" s="59" t="n">
        <v>0</v>
      </c>
      <c r="G25" s="59" t="n">
        <v>0</v>
      </c>
      <c r="H25" s="59" t="n">
        <v>0</v>
      </c>
      <c r="I25" s="59" t="n">
        <v>0</v>
      </c>
      <c r="J25" s="59" t="n">
        <v>0</v>
      </c>
      <c r="K25" s="59" t="n">
        <v>0</v>
      </c>
      <c r="L25" s="59" t="n">
        <v>0</v>
      </c>
      <c r="M25" s="59" t="n">
        <v>0</v>
      </c>
    </row>
    <row r="26" customFormat="false" ht="15" hidden="false" customHeight="false" outlineLevel="0" collapsed="false">
      <c r="A26" s="40" t="s">
        <v>306</v>
      </c>
      <c r="B26" s="62" t="n">
        <f aca="false">B23-B24-B25</f>
        <v>-58.125</v>
      </c>
      <c r="C26" s="62" t="n">
        <f aca="false">C23-C24-C25</f>
        <v>35.0125</v>
      </c>
      <c r="D26" s="62" t="n">
        <f aca="false">D23-D24-D25</f>
        <v>128.15</v>
      </c>
      <c r="E26" s="62" t="n">
        <f aca="false">E23-E24-E25</f>
        <v>221.2875</v>
      </c>
      <c r="F26" s="62" t="n">
        <f aca="false">F23-F24-F25</f>
        <v>300.25</v>
      </c>
      <c r="G26" s="62" t="n">
        <f aca="false">G23-G24-G25</f>
        <v>393.125</v>
      </c>
      <c r="H26" s="62" t="n">
        <f aca="false">H23-H24-H25</f>
        <v>486</v>
      </c>
      <c r="I26" s="62" t="n">
        <f aca="false">I23-I24-I25</f>
        <v>486</v>
      </c>
      <c r="J26" s="62" t="n">
        <f aca="false">J23-J24-J25</f>
        <v>486</v>
      </c>
      <c r="K26" s="62" t="n">
        <f aca="false">K23-K24-K25</f>
        <v>486</v>
      </c>
      <c r="L26" s="62" t="n">
        <f aca="false">L23-L24-L25</f>
        <v>486</v>
      </c>
      <c r="M26" s="62" t="n">
        <f aca="false">M23-M24-M25</f>
        <v>486</v>
      </c>
    </row>
    <row r="27" customFormat="false" ht="15" hidden="false" customHeight="false" outlineLevel="0" collapsed="false">
      <c r="A27" s="40" t="s">
        <v>307</v>
      </c>
      <c r="B27" s="62" t="n">
        <f aca="false">Assumptions!$B$31+SUM($B$26:B26)</f>
        <v>-58.125</v>
      </c>
      <c r="C27" s="62" t="n">
        <f aca="false">Assumptions!$B$31+SUM($B$26:C26)</f>
        <v>-23.1125</v>
      </c>
      <c r="D27" s="62" t="n">
        <f aca="false">Assumptions!$B$31+SUM($B$26:D26)</f>
        <v>105.0375</v>
      </c>
      <c r="E27" s="62" t="n">
        <f aca="false">Assumptions!$B$31+SUM($B$26:E26)</f>
        <v>326.325</v>
      </c>
      <c r="F27" s="62" t="n">
        <f aca="false">Assumptions!$B$31+SUM($B$26:F26)</f>
        <v>626.575</v>
      </c>
      <c r="G27" s="62" t="n">
        <f aca="false">Assumptions!$B$31+SUM($B$26:G26)</f>
        <v>1019.7</v>
      </c>
      <c r="H27" s="62" t="n">
        <f aca="false">Assumptions!$B$31+SUM($B$26:H26)</f>
        <v>1505.7</v>
      </c>
      <c r="I27" s="62" t="n">
        <f aca="false">Assumptions!$B$31+SUM($B$26:I26)</f>
        <v>1991.7</v>
      </c>
      <c r="J27" s="62" t="n">
        <f aca="false">Assumptions!$B$31+SUM($B$26:J26)</f>
        <v>2477.7</v>
      </c>
      <c r="K27" s="62" t="n">
        <f aca="false">Assumptions!$B$31+SUM($B$26:K26)</f>
        <v>2963.7</v>
      </c>
      <c r="L27" s="62" t="n">
        <f aca="false">Assumptions!$B$31+SUM($B$26:L26)</f>
        <v>3449.7</v>
      </c>
      <c r="M27" s="62" t="n">
        <f aca="false">Assumptions!$B$31+SUM($B$26:M26)</f>
        <v>3935.7</v>
      </c>
    </row>
    <row r="28" customFormat="false" ht="15" hidden="false" customHeight="false" outlineLevel="0" collapsed="false">
      <c r="A28" s="15" t="s">
        <v>315</v>
      </c>
      <c r="B28" s="15" t="str">
        <f aca="false">IF(B26&gt;0,"Yes","No")</f>
        <v>No</v>
      </c>
      <c r="C28" s="15" t="str">
        <f aca="false">IF(C26&gt;0,"Yes","No")</f>
        <v>Yes</v>
      </c>
      <c r="D28" s="15" t="str">
        <f aca="false">IF(D26&gt;0,"Yes","No")</f>
        <v>Yes</v>
      </c>
      <c r="E28" s="15" t="str">
        <f aca="false">IF(E26&gt;0,"Yes","No")</f>
        <v>Yes</v>
      </c>
      <c r="F28" s="15" t="str">
        <f aca="false">IF(F26&gt;0,"Yes","No")</f>
        <v>Yes</v>
      </c>
      <c r="G28" s="15" t="str">
        <f aca="false">IF(G26&gt;0,"Yes","No")</f>
        <v>Yes</v>
      </c>
      <c r="H28" s="15" t="str">
        <f aca="false">IF(H26&gt;0,"Yes","No")</f>
        <v>Yes</v>
      </c>
      <c r="I28" s="15" t="str">
        <f aca="false">IF(I26&gt;0,"Yes","No")</f>
        <v>Yes</v>
      </c>
      <c r="J28" s="15" t="str">
        <f aca="false">IF(J26&gt;0,"Yes","No")</f>
        <v>Yes</v>
      </c>
      <c r="K28" s="15" t="str">
        <f aca="false">IF(K26&gt;0,"Yes","No")</f>
        <v>Yes</v>
      </c>
      <c r="L28" s="15" t="str">
        <f aca="false">IF(L26&gt;0,"Yes","No")</f>
        <v>Yes</v>
      </c>
      <c r="M28" s="15" t="str">
        <f aca="false">IF(M26&gt;0,"Yes","No")</f>
        <v>Yes</v>
      </c>
    </row>
    <row r="29" customFormat="false" ht="15" hidden="false" customHeight="false" outlineLevel="0" collapsed="false">
      <c r="A29" s="17" t="s">
        <v>316</v>
      </c>
      <c r="B29" s="17" t="str">
        <f aca="false">IF(B27&gt;=0,"Yes","No")</f>
        <v>No</v>
      </c>
      <c r="C29" s="17" t="str">
        <f aca="false">IF(C27&gt;=0,"Yes","No")</f>
        <v>No</v>
      </c>
      <c r="D29" s="17" t="str">
        <f aca="false">IF(D27&gt;=0,"Yes","No")</f>
        <v>Yes</v>
      </c>
      <c r="E29" s="17" t="str">
        <f aca="false">IF(E27&gt;=0,"Yes","No")</f>
        <v>Yes</v>
      </c>
      <c r="F29" s="17" t="str">
        <f aca="false">IF(F27&gt;=0,"Yes","No")</f>
        <v>Yes</v>
      </c>
      <c r="G29" s="17" t="str">
        <f aca="false">IF(G27&gt;=0,"Yes","No")</f>
        <v>Yes</v>
      </c>
      <c r="H29" s="17" t="str">
        <f aca="false">IF(H27&gt;=0,"Yes","No")</f>
        <v>Yes</v>
      </c>
      <c r="I29" s="17" t="str">
        <f aca="false">IF(I27&gt;=0,"Yes","No")</f>
        <v>Yes</v>
      </c>
      <c r="J29" s="17" t="str">
        <f aca="false">IF(J27&gt;=0,"Yes","No")</f>
        <v>Yes</v>
      </c>
      <c r="K29" s="17" t="str">
        <f aca="false">IF(K27&gt;=0,"Yes","No")</f>
        <v>Yes</v>
      </c>
      <c r="L29" s="17" t="str">
        <f aca="false">IF(L27&gt;=0,"Yes","No")</f>
        <v>Yes</v>
      </c>
      <c r="M29" s="17" t="str">
        <f aca="false">IF(M27&gt;=0,"Yes","No")</f>
        <v>Yes</v>
      </c>
    </row>
    <row r="30" customFormat="false" ht="15" hidden="false" customHeight="false" outlineLevel="0" collapsed="false">
      <c r="A30" s="2"/>
      <c r="B30" s="2"/>
      <c r="C30" s="2"/>
      <c r="D30" s="2"/>
      <c r="E30" s="2"/>
      <c r="F30" s="2"/>
      <c r="G30" s="2"/>
      <c r="H30" s="2"/>
      <c r="I30" s="2"/>
      <c r="J30" s="2"/>
      <c r="K30" s="2"/>
      <c r="L30" s="2"/>
      <c r="M30" s="2"/>
    </row>
    <row r="31" customFormat="false" ht="15" hidden="false" customHeight="false" outlineLevel="0" collapsed="false">
      <c r="A31" s="2"/>
      <c r="B31" s="2"/>
      <c r="C31" s="2"/>
      <c r="D31" s="2"/>
      <c r="E31" s="2"/>
      <c r="F31" s="2"/>
      <c r="G31" s="2"/>
      <c r="H31" s="2"/>
      <c r="I31" s="2"/>
      <c r="J31" s="2"/>
      <c r="K31" s="2"/>
      <c r="L31" s="2"/>
      <c r="M31" s="2"/>
    </row>
    <row r="32" customFormat="false" ht="21.75" hidden="false" customHeight="true" outlineLevel="0" collapsed="false">
      <c r="A32" s="12" t="s">
        <v>317</v>
      </c>
      <c r="B32" s="12"/>
      <c r="C32" s="12"/>
      <c r="D32" s="12"/>
      <c r="E32" s="12"/>
      <c r="F32" s="12"/>
      <c r="G32" s="12"/>
      <c r="H32" s="12"/>
      <c r="I32" s="12"/>
      <c r="J32" s="12"/>
      <c r="K32" s="12"/>
      <c r="L32" s="12"/>
      <c r="M32" s="12"/>
    </row>
    <row r="33" customFormat="false" ht="15" hidden="false" customHeight="false" outlineLevel="0" collapsed="false">
      <c r="A33" s="13" t="s">
        <v>309</v>
      </c>
      <c r="B33" s="58" t="n">
        <f aca="false">B16</f>
        <v>500</v>
      </c>
      <c r="C33" s="58" t="n">
        <f aca="false">C16</f>
        <v>500</v>
      </c>
      <c r="D33" s="58" t="n">
        <f aca="false">D16</f>
        <v>500</v>
      </c>
      <c r="E33" s="58" t="n">
        <f aca="false">E16</f>
        <v>500</v>
      </c>
      <c r="F33" s="58" t="n">
        <f aca="false">F16</f>
        <v>500</v>
      </c>
      <c r="G33" s="58" t="n">
        <f aca="false">G16</f>
        <v>500</v>
      </c>
      <c r="H33" s="58" t="n">
        <f aca="false">H16</f>
        <v>500</v>
      </c>
      <c r="I33" s="58" t="n">
        <f aca="false">I16</f>
        <v>500</v>
      </c>
      <c r="J33" s="58" t="n">
        <f aca="false">J16</f>
        <v>500</v>
      </c>
      <c r="K33" s="58" t="n">
        <f aca="false">K16</f>
        <v>500</v>
      </c>
      <c r="L33" s="58" t="n">
        <f aca="false">L16</f>
        <v>500</v>
      </c>
      <c r="M33" s="58" t="n">
        <f aca="false">M16</f>
        <v>500</v>
      </c>
    </row>
    <row r="34" customFormat="false" ht="15" hidden="false" customHeight="false" outlineLevel="0" collapsed="false">
      <c r="A34" s="15" t="s">
        <v>310</v>
      </c>
      <c r="B34" s="61" t="n">
        <f aca="false">B17</f>
        <v>0</v>
      </c>
      <c r="C34" s="61" t="n">
        <f aca="false">C17</f>
        <v>10</v>
      </c>
      <c r="D34" s="61" t="n">
        <f aca="false">D17</f>
        <v>10</v>
      </c>
      <c r="E34" s="61" t="n">
        <f aca="false">E17</f>
        <v>10</v>
      </c>
      <c r="F34" s="61" t="n">
        <f aca="false">F17</f>
        <v>10</v>
      </c>
      <c r="G34" s="61" t="n">
        <f aca="false">G17</f>
        <v>10</v>
      </c>
      <c r="H34" s="61" t="n">
        <f aca="false">H17</f>
        <v>10</v>
      </c>
      <c r="I34" s="61" t="n">
        <f aca="false">I17</f>
        <v>10</v>
      </c>
      <c r="J34" s="61" t="n">
        <f aca="false">J17</f>
        <v>10</v>
      </c>
      <c r="K34" s="61" t="n">
        <f aca="false">K17</f>
        <v>10</v>
      </c>
      <c r="L34" s="61" t="n">
        <f aca="false">L17</f>
        <v>10</v>
      </c>
      <c r="M34" s="61" t="n">
        <f aca="false">M17</f>
        <v>10</v>
      </c>
    </row>
    <row r="35" customFormat="false" ht="15" hidden="false" customHeight="false" outlineLevel="0" collapsed="false">
      <c r="A35" s="15" t="s">
        <v>303</v>
      </c>
      <c r="B35" s="61" t="n">
        <f aca="false">B18</f>
        <v>0</v>
      </c>
      <c r="C35" s="61" t="n">
        <f aca="false">C18</f>
        <v>10</v>
      </c>
      <c r="D35" s="61" t="n">
        <f aca="false">D18</f>
        <v>20</v>
      </c>
      <c r="E35" s="61" t="n">
        <f aca="false">E18</f>
        <v>30</v>
      </c>
      <c r="F35" s="61" t="n">
        <f aca="false">F18</f>
        <v>40</v>
      </c>
      <c r="G35" s="61" t="n">
        <f aca="false">G18</f>
        <v>50</v>
      </c>
      <c r="H35" s="61" t="n">
        <f aca="false">H18</f>
        <v>60</v>
      </c>
      <c r="I35" s="61" t="n">
        <f aca="false">I18</f>
        <v>60</v>
      </c>
      <c r="J35" s="61" t="n">
        <f aca="false">J18</f>
        <v>60</v>
      </c>
      <c r="K35" s="61" t="n">
        <f aca="false">K18</f>
        <v>60</v>
      </c>
      <c r="L35" s="61" t="n">
        <f aca="false">L18</f>
        <v>60</v>
      </c>
      <c r="M35" s="61" t="n">
        <f aca="false">M18</f>
        <v>60</v>
      </c>
    </row>
    <row r="36" customFormat="false" ht="15" hidden="false" customHeight="false" outlineLevel="0" collapsed="false">
      <c r="A36" s="15" t="s">
        <v>304</v>
      </c>
      <c r="B36" s="59" t="n">
        <f aca="false">B19</f>
        <v>0</v>
      </c>
      <c r="C36" s="59" t="n">
        <f aca="false">C19</f>
        <v>100</v>
      </c>
      <c r="D36" s="59" t="n">
        <f aca="false">D19</f>
        <v>200</v>
      </c>
      <c r="E36" s="59" t="n">
        <f aca="false">E19</f>
        <v>300</v>
      </c>
      <c r="F36" s="59" t="n">
        <f aca="false">F19</f>
        <v>400</v>
      </c>
      <c r="G36" s="59" t="n">
        <f aca="false">G19</f>
        <v>500</v>
      </c>
      <c r="H36" s="59" t="n">
        <f aca="false">H19</f>
        <v>600</v>
      </c>
      <c r="I36" s="59" t="n">
        <f aca="false">I19</f>
        <v>600</v>
      </c>
      <c r="J36" s="59" t="n">
        <f aca="false">J19</f>
        <v>600</v>
      </c>
      <c r="K36" s="59" t="n">
        <f aca="false">K19</f>
        <v>600</v>
      </c>
      <c r="L36" s="59" t="n">
        <f aca="false">L19</f>
        <v>600</v>
      </c>
      <c r="M36" s="59" t="n">
        <f aca="false">M19</f>
        <v>600</v>
      </c>
    </row>
    <row r="37" customFormat="false" ht="15" hidden="false" customHeight="false" outlineLevel="0" collapsed="false">
      <c r="A37" s="15" t="s">
        <v>313</v>
      </c>
      <c r="B37" s="59" t="n">
        <f aca="false">B22</f>
        <v>13.125</v>
      </c>
      <c r="C37" s="59" t="n">
        <f aca="false">C22</f>
        <v>19.9875</v>
      </c>
      <c r="D37" s="59" t="n">
        <f aca="false">D22</f>
        <v>26.85</v>
      </c>
      <c r="E37" s="59" t="n">
        <f aca="false">E22</f>
        <v>33.7125</v>
      </c>
      <c r="F37" s="59" t="n">
        <f aca="false">F22</f>
        <v>54.75</v>
      </c>
      <c r="G37" s="59" t="n">
        <f aca="false">G22</f>
        <v>61.875</v>
      </c>
      <c r="H37" s="59" t="n">
        <f aca="false">H22</f>
        <v>69</v>
      </c>
      <c r="I37" s="59" t="n">
        <f aca="false">I22</f>
        <v>69</v>
      </c>
      <c r="J37" s="59" t="n">
        <f aca="false">J22</f>
        <v>69</v>
      </c>
      <c r="K37" s="59" t="n">
        <f aca="false">K22</f>
        <v>69</v>
      </c>
      <c r="L37" s="59" t="n">
        <f aca="false">L22</f>
        <v>69</v>
      </c>
      <c r="M37" s="59" t="n">
        <f aca="false">M22</f>
        <v>69</v>
      </c>
    </row>
    <row r="38" customFormat="false" ht="15" hidden="false" customHeight="false" outlineLevel="0" collapsed="false">
      <c r="A38" s="15" t="s">
        <v>305</v>
      </c>
      <c r="B38" s="59" t="n">
        <f aca="false">B23</f>
        <v>-13.125</v>
      </c>
      <c r="C38" s="59" t="n">
        <f aca="false">C23</f>
        <v>80.0125</v>
      </c>
      <c r="D38" s="59" t="n">
        <f aca="false">D23</f>
        <v>173.15</v>
      </c>
      <c r="E38" s="59" t="n">
        <f aca="false">E23</f>
        <v>266.2875</v>
      </c>
      <c r="F38" s="59" t="n">
        <f aca="false">F23</f>
        <v>345.25</v>
      </c>
      <c r="G38" s="59" t="n">
        <f aca="false">G23</f>
        <v>438.125</v>
      </c>
      <c r="H38" s="59" t="n">
        <f aca="false">H23</f>
        <v>531</v>
      </c>
      <c r="I38" s="59" t="n">
        <f aca="false">I23</f>
        <v>531</v>
      </c>
      <c r="J38" s="59" t="n">
        <f aca="false">J23</f>
        <v>531</v>
      </c>
      <c r="K38" s="59" t="n">
        <f aca="false">K23</f>
        <v>531</v>
      </c>
      <c r="L38" s="59" t="n">
        <f aca="false">L23</f>
        <v>531</v>
      </c>
      <c r="M38" s="59" t="n">
        <f aca="false">M23</f>
        <v>531</v>
      </c>
    </row>
    <row r="39" customFormat="false" ht="15" hidden="false" customHeight="false" outlineLevel="0" collapsed="false">
      <c r="A39" s="15" t="s">
        <v>24</v>
      </c>
      <c r="B39" s="59" t="n">
        <f aca="false">B24</f>
        <v>45</v>
      </c>
      <c r="C39" s="59" t="n">
        <f aca="false">C24</f>
        <v>45</v>
      </c>
      <c r="D39" s="59" t="n">
        <f aca="false">D24</f>
        <v>45</v>
      </c>
      <c r="E39" s="59" t="n">
        <f aca="false">E24</f>
        <v>45</v>
      </c>
      <c r="F39" s="59" t="n">
        <f aca="false">F24</f>
        <v>45</v>
      </c>
      <c r="G39" s="59" t="n">
        <f aca="false">G24</f>
        <v>45</v>
      </c>
      <c r="H39" s="59" t="n">
        <f aca="false">H24</f>
        <v>45</v>
      </c>
      <c r="I39" s="59" t="n">
        <f aca="false">I24</f>
        <v>45</v>
      </c>
      <c r="J39" s="59" t="n">
        <f aca="false">J24</f>
        <v>45</v>
      </c>
      <c r="K39" s="59" t="n">
        <f aca="false">K24</f>
        <v>45</v>
      </c>
      <c r="L39" s="59" t="n">
        <f aca="false">L24</f>
        <v>45</v>
      </c>
      <c r="M39" s="59" t="n">
        <f aca="false">M24</f>
        <v>45</v>
      </c>
    </row>
    <row r="40" customFormat="false" ht="15" hidden="false" customHeight="false" outlineLevel="0" collapsed="false">
      <c r="A40" s="15" t="s">
        <v>314</v>
      </c>
      <c r="B40" s="59" t="n">
        <f aca="false">Assumptions!$B$30*Assumptions!$B$10</f>
        <v>185.75</v>
      </c>
      <c r="C40" s="59" t="n">
        <f aca="false">Assumptions!$B$30*Assumptions!$B$10</f>
        <v>185.75</v>
      </c>
      <c r="D40" s="59" t="n">
        <f aca="false">Assumptions!$B$30*Assumptions!$B$10</f>
        <v>185.75</v>
      </c>
      <c r="E40" s="59" t="n">
        <f aca="false">Assumptions!$B$30*Assumptions!$B$10</f>
        <v>185.75</v>
      </c>
      <c r="F40" s="59" t="n">
        <f aca="false">Assumptions!$B$30*Assumptions!$B$10</f>
        <v>185.75</v>
      </c>
      <c r="G40" s="59" t="n">
        <f aca="false">Assumptions!$B$30*Assumptions!$B$10</f>
        <v>185.75</v>
      </c>
      <c r="H40" s="59" t="n">
        <f aca="false">Assumptions!$B$30*Assumptions!$B$10</f>
        <v>185.75</v>
      </c>
      <c r="I40" s="59" t="n">
        <f aca="false">Assumptions!$B$30*Assumptions!$B$10</f>
        <v>185.75</v>
      </c>
      <c r="J40" s="59" t="n">
        <f aca="false">Assumptions!$B$30*Assumptions!$B$10</f>
        <v>185.75</v>
      </c>
      <c r="K40" s="59" t="n">
        <f aca="false">Assumptions!$B$30*Assumptions!$B$10</f>
        <v>185.75</v>
      </c>
      <c r="L40" s="59" t="n">
        <f aca="false">Assumptions!$B$30*Assumptions!$B$10</f>
        <v>185.75</v>
      </c>
      <c r="M40" s="59" t="n">
        <f aca="false">Assumptions!$B$30*Assumptions!$B$10</f>
        <v>185.75</v>
      </c>
    </row>
    <row r="41" customFormat="false" ht="15" hidden="false" customHeight="false" outlineLevel="0" collapsed="false">
      <c r="A41" s="49" t="s">
        <v>306</v>
      </c>
      <c r="B41" s="63" t="n">
        <f aca="false">B38-B39-B40</f>
        <v>-243.875</v>
      </c>
      <c r="C41" s="63" t="n">
        <f aca="false">C38-C39-C40</f>
        <v>-150.7375</v>
      </c>
      <c r="D41" s="63" t="n">
        <f aca="false">D38-D39-D40</f>
        <v>-57.6</v>
      </c>
      <c r="E41" s="63" t="n">
        <f aca="false">E38-E39-E40</f>
        <v>35.5375</v>
      </c>
      <c r="F41" s="63" t="n">
        <f aca="false">F38-F39-F40</f>
        <v>114.5</v>
      </c>
      <c r="G41" s="63" t="n">
        <f aca="false">G38-G39-G40</f>
        <v>207.375</v>
      </c>
      <c r="H41" s="63" t="n">
        <f aca="false">H38-H39-H40</f>
        <v>300.25</v>
      </c>
      <c r="I41" s="63" t="n">
        <f aca="false">I38-I39-I40</f>
        <v>300.25</v>
      </c>
      <c r="J41" s="63" t="n">
        <f aca="false">J38-J39-J40</f>
        <v>300.25</v>
      </c>
      <c r="K41" s="63" t="n">
        <f aca="false">K38-K39-K40</f>
        <v>300.25</v>
      </c>
      <c r="L41" s="63" t="n">
        <f aca="false">L38-L39-L40</f>
        <v>300.25</v>
      </c>
      <c r="M41" s="63" t="n">
        <f aca="false">M38-M39-M40</f>
        <v>300.25</v>
      </c>
    </row>
    <row r="42" customFormat="false" ht="15" hidden="false" customHeight="false" outlineLevel="0" collapsed="false">
      <c r="A42" s="49" t="s">
        <v>307</v>
      </c>
      <c r="B42" s="63" t="n">
        <f aca="false">Assumptions!$B$31+SUM($B$41:B41)</f>
        <v>-243.875</v>
      </c>
      <c r="C42" s="63" t="n">
        <f aca="false">Assumptions!$B$31+SUM($B$41:C41)</f>
        <v>-394.6125</v>
      </c>
      <c r="D42" s="63" t="n">
        <f aca="false">Assumptions!$B$31+SUM($B$41:D41)</f>
        <v>-452.2125</v>
      </c>
      <c r="E42" s="63" t="n">
        <f aca="false">Assumptions!$B$31+SUM($B$41:E41)</f>
        <v>-416.675</v>
      </c>
      <c r="F42" s="63" t="n">
        <f aca="false">Assumptions!$B$31+SUM($B$41:F41)</f>
        <v>-302.175</v>
      </c>
      <c r="G42" s="63" t="n">
        <f aca="false">Assumptions!$B$31+SUM($B$41:G41)</f>
        <v>-94.8</v>
      </c>
      <c r="H42" s="63" t="n">
        <f aca="false">Assumptions!$B$31+SUM($B$41:H41)</f>
        <v>205.45</v>
      </c>
      <c r="I42" s="63" t="n">
        <f aca="false">Assumptions!$B$31+SUM($B$41:I41)</f>
        <v>505.7</v>
      </c>
      <c r="J42" s="63" t="n">
        <f aca="false">Assumptions!$B$31+SUM($B$41:J41)</f>
        <v>805.95</v>
      </c>
      <c r="K42" s="63" t="n">
        <f aca="false">Assumptions!$B$31+SUM($B$41:K41)</f>
        <v>1106.2</v>
      </c>
      <c r="L42" s="63" t="n">
        <f aca="false">Assumptions!$B$31+SUM($B$41:L41)</f>
        <v>1406.45</v>
      </c>
      <c r="M42" s="63" t="n">
        <f aca="false">Assumptions!$B$31+SUM($B$41:M41)</f>
        <v>1706.7</v>
      </c>
    </row>
    <row r="43" customFormat="false" ht="15" hidden="false" customHeight="false" outlineLevel="0" collapsed="false">
      <c r="A43" s="15" t="s">
        <v>315</v>
      </c>
      <c r="B43" s="15" t="str">
        <f aca="false">IF(B41&gt;0,"Yes","No")</f>
        <v>No</v>
      </c>
      <c r="C43" s="15" t="str">
        <f aca="false">IF(C41&gt;0,"Yes","No")</f>
        <v>No</v>
      </c>
      <c r="D43" s="15" t="str">
        <f aca="false">IF(D41&gt;0,"Yes","No")</f>
        <v>No</v>
      </c>
      <c r="E43" s="15" t="str">
        <f aca="false">IF(E41&gt;0,"Yes","No")</f>
        <v>Yes</v>
      </c>
      <c r="F43" s="15" t="str">
        <f aca="false">IF(F41&gt;0,"Yes","No")</f>
        <v>Yes</v>
      </c>
      <c r="G43" s="15" t="str">
        <f aca="false">IF(G41&gt;0,"Yes","No")</f>
        <v>Yes</v>
      </c>
      <c r="H43" s="15" t="str">
        <f aca="false">IF(H41&gt;0,"Yes","No")</f>
        <v>Yes</v>
      </c>
      <c r="I43" s="15" t="str">
        <f aca="false">IF(I41&gt;0,"Yes","No")</f>
        <v>Yes</v>
      </c>
      <c r="J43" s="15" t="str">
        <f aca="false">IF(J41&gt;0,"Yes","No")</f>
        <v>Yes</v>
      </c>
      <c r="K43" s="15" t="str">
        <f aca="false">IF(K41&gt;0,"Yes","No")</f>
        <v>Yes</v>
      </c>
      <c r="L43" s="15" t="str">
        <f aca="false">IF(L41&gt;0,"Yes","No")</f>
        <v>Yes</v>
      </c>
      <c r="M43" s="15" t="str">
        <f aca="false">IF(M41&gt;0,"Yes","No")</f>
        <v>Yes</v>
      </c>
    </row>
    <row r="44" customFormat="false" ht="15" hidden="false" customHeight="false" outlineLevel="0" collapsed="false">
      <c r="A44" s="17" t="s">
        <v>316</v>
      </c>
      <c r="B44" s="17" t="str">
        <f aca="false">IF(B42&gt;=0,"Yes","No")</f>
        <v>No</v>
      </c>
      <c r="C44" s="17" t="str">
        <f aca="false">IF(C42&gt;=0,"Yes","No")</f>
        <v>No</v>
      </c>
      <c r="D44" s="17" t="str">
        <f aca="false">IF(D42&gt;=0,"Yes","No")</f>
        <v>No</v>
      </c>
      <c r="E44" s="17" t="str">
        <f aca="false">IF(E42&gt;=0,"Yes","No")</f>
        <v>No</v>
      </c>
      <c r="F44" s="17" t="str">
        <f aca="false">IF(F42&gt;=0,"Yes","No")</f>
        <v>No</v>
      </c>
      <c r="G44" s="17" t="str">
        <f aca="false">IF(G42&gt;=0,"Yes","No")</f>
        <v>No</v>
      </c>
      <c r="H44" s="17" t="str">
        <f aca="false">IF(H42&gt;=0,"Yes","No")</f>
        <v>Yes</v>
      </c>
      <c r="I44" s="17" t="str">
        <f aca="false">IF(I42&gt;=0,"Yes","No")</f>
        <v>Yes</v>
      </c>
      <c r="J44" s="17" t="str">
        <f aca="false">IF(J42&gt;=0,"Yes","No")</f>
        <v>Yes</v>
      </c>
      <c r="K44" s="17" t="str">
        <f aca="false">IF(K42&gt;=0,"Yes","No")</f>
        <v>Yes</v>
      </c>
      <c r="L44" s="17" t="str">
        <f aca="false">IF(L42&gt;=0,"Yes","No")</f>
        <v>Yes</v>
      </c>
      <c r="M44" s="17" t="str">
        <f aca="false">IF(M42&gt;=0,"Yes","No")</f>
        <v>Yes</v>
      </c>
    </row>
    <row r="45" customFormat="false" ht="15" hidden="false" customHeight="false" outlineLevel="0" collapsed="false">
      <c r="A45" s="2"/>
      <c r="B45" s="2"/>
      <c r="C45" s="2"/>
      <c r="D45" s="2"/>
      <c r="E45" s="2"/>
      <c r="F45" s="2"/>
      <c r="G45" s="2"/>
      <c r="H45" s="2"/>
      <c r="I45" s="2"/>
      <c r="J45" s="2"/>
      <c r="K45" s="2"/>
      <c r="L45" s="2"/>
      <c r="M45" s="2"/>
    </row>
    <row r="46" customFormat="false" ht="15" hidden="false" customHeight="false" outlineLevel="0" collapsed="false">
      <c r="A46" s="2"/>
      <c r="B46" s="2"/>
      <c r="C46" s="2"/>
      <c r="D46" s="2"/>
      <c r="E46" s="2"/>
      <c r="F46" s="2"/>
      <c r="G46" s="2"/>
      <c r="H46" s="2"/>
      <c r="I46" s="2"/>
      <c r="J46" s="2"/>
      <c r="K46" s="2"/>
      <c r="L46" s="2"/>
      <c r="M46" s="2"/>
    </row>
    <row r="47" customFormat="false" ht="15" hidden="false" customHeight="false" outlineLevel="0" collapsed="false">
      <c r="A47" s="2"/>
      <c r="B47" s="2"/>
      <c r="C47" s="2"/>
      <c r="D47" s="2"/>
      <c r="E47" s="2"/>
      <c r="F47" s="2"/>
      <c r="G47" s="2"/>
      <c r="H47" s="2"/>
      <c r="I47" s="2"/>
      <c r="J47" s="2"/>
      <c r="K47" s="2"/>
      <c r="L47" s="2"/>
      <c r="M47" s="2"/>
    </row>
    <row r="48" customFormat="false" ht="25.5" hidden="false" customHeight="true" outlineLevel="0" collapsed="false">
      <c r="A48" s="4" t="s">
        <v>2</v>
      </c>
      <c r="B48" s="4" t="s">
        <v>49</v>
      </c>
      <c r="C48" s="4" t="s">
        <v>4</v>
      </c>
      <c r="D48" s="4" t="s">
        <v>5</v>
      </c>
      <c r="E48" s="2"/>
      <c r="F48" s="2"/>
      <c r="G48" s="2"/>
      <c r="H48" s="2"/>
      <c r="I48" s="2"/>
      <c r="J48" s="2"/>
      <c r="K48" s="2"/>
      <c r="L48" s="2"/>
      <c r="M48" s="2"/>
    </row>
    <row r="49" customFormat="false" ht="15" hidden="false" customHeight="false" outlineLevel="0" collapsed="false">
      <c r="A49" s="2" t="str">
        <f aca="false">TEXT(B$4,"mmm yy")</f>
        <v>Sep 26</v>
      </c>
      <c r="B49" s="6" t="n">
        <f aca="false">B$11</f>
        <v>0.800000000000011</v>
      </c>
      <c r="C49" s="6" t="n">
        <f aca="false">B$26</f>
        <v>-58.125</v>
      </c>
      <c r="D49" s="6" t="n">
        <f aca="false">B$41</f>
        <v>-243.875</v>
      </c>
      <c r="E49" s="2"/>
      <c r="F49" s="2"/>
      <c r="G49" s="2"/>
      <c r="H49" s="2"/>
      <c r="I49" s="2"/>
      <c r="J49" s="2"/>
      <c r="K49" s="2"/>
      <c r="L49" s="2"/>
      <c r="M49" s="2"/>
    </row>
    <row r="50" customFormat="false" ht="15" hidden="false" customHeight="false" outlineLevel="0" collapsed="false">
      <c r="A50" s="2" t="str">
        <f aca="false">TEXT(C$4,"mmm yy")</f>
        <v>Oct 26</v>
      </c>
      <c r="B50" s="6" t="n">
        <f aca="false">C$11</f>
        <v>95.6</v>
      </c>
      <c r="C50" s="6" t="n">
        <f aca="false">C$26</f>
        <v>35.0125</v>
      </c>
      <c r="D50" s="6" t="n">
        <f aca="false">C$41</f>
        <v>-150.7375</v>
      </c>
      <c r="E50" s="2"/>
      <c r="F50" s="2"/>
      <c r="G50" s="2"/>
      <c r="H50" s="2"/>
      <c r="I50" s="2"/>
      <c r="J50" s="2"/>
      <c r="K50" s="2"/>
      <c r="L50" s="2"/>
      <c r="M50" s="2"/>
    </row>
    <row r="51" customFormat="false" ht="15" hidden="false" customHeight="false" outlineLevel="0" collapsed="false">
      <c r="A51" s="2" t="str">
        <f aca="false">TEXT(D$4,"mmm yy")</f>
        <v>Nov 26</v>
      </c>
      <c r="B51" s="6" t="n">
        <f aca="false">D$11</f>
        <v>190.4</v>
      </c>
      <c r="C51" s="6" t="n">
        <f aca="false">D$26</f>
        <v>128.15</v>
      </c>
      <c r="D51" s="6" t="n">
        <f aca="false">D$41</f>
        <v>-57.6</v>
      </c>
      <c r="E51" s="2"/>
      <c r="F51" s="2"/>
      <c r="G51" s="2"/>
      <c r="H51" s="2"/>
      <c r="I51" s="2"/>
      <c r="J51" s="2"/>
      <c r="K51" s="2"/>
      <c r="L51" s="2"/>
      <c r="M51" s="2"/>
    </row>
    <row r="52" customFormat="false" ht="15" hidden="false" customHeight="false" outlineLevel="0" collapsed="false">
      <c r="A52" s="2" t="str">
        <f aca="false">TEXT(E$4,"mmm yy")</f>
        <v>Dec 26</v>
      </c>
      <c r="B52" s="6" t="n">
        <f aca="false">E$11</f>
        <v>285.2</v>
      </c>
      <c r="C52" s="6" t="n">
        <f aca="false">E$26</f>
        <v>221.2875</v>
      </c>
      <c r="D52" s="6" t="n">
        <f aca="false">E$41</f>
        <v>35.5375</v>
      </c>
      <c r="E52" s="2"/>
      <c r="F52" s="2"/>
      <c r="G52" s="2"/>
      <c r="H52" s="2"/>
      <c r="I52" s="2"/>
      <c r="J52" s="2"/>
      <c r="K52" s="2"/>
      <c r="L52" s="2"/>
      <c r="M52" s="2"/>
    </row>
    <row r="53" customFormat="false" ht="15" hidden="false" customHeight="false" outlineLevel="0" collapsed="false">
      <c r="A53" s="2" t="str">
        <f aca="false">TEXT(F$4,"mmm yy")</f>
        <v>Jan 27</v>
      </c>
      <c r="B53" s="6" t="n">
        <f aca="false">F$11</f>
        <v>380</v>
      </c>
      <c r="C53" s="6" t="n">
        <f aca="false">F$26</f>
        <v>300.25</v>
      </c>
      <c r="D53" s="6" t="n">
        <f aca="false">F$41</f>
        <v>114.5</v>
      </c>
      <c r="E53" s="2"/>
      <c r="F53" s="2"/>
      <c r="G53" s="2"/>
      <c r="H53" s="2"/>
      <c r="I53" s="2"/>
      <c r="J53" s="2"/>
      <c r="K53" s="2"/>
      <c r="L53" s="2"/>
      <c r="M53" s="2"/>
    </row>
    <row r="54" customFormat="false" ht="15" hidden="false" customHeight="false" outlineLevel="0" collapsed="false">
      <c r="A54" s="2" t="str">
        <f aca="false">TEXT(G$4,"mmm yy")</f>
        <v>Feb 27</v>
      </c>
      <c r="B54" s="6" t="n">
        <f aca="false">G$11</f>
        <v>474.8</v>
      </c>
      <c r="C54" s="6" t="n">
        <f aca="false">G$26</f>
        <v>393.125</v>
      </c>
      <c r="D54" s="6" t="n">
        <f aca="false">G$41</f>
        <v>207.375</v>
      </c>
      <c r="E54" s="2"/>
      <c r="F54" s="2"/>
      <c r="G54" s="2"/>
      <c r="H54" s="2"/>
      <c r="I54" s="2"/>
      <c r="J54" s="2"/>
      <c r="K54" s="2"/>
      <c r="L54" s="2"/>
      <c r="M54" s="2"/>
    </row>
    <row r="55" customFormat="false" ht="15" hidden="false" customHeight="false" outlineLevel="0" collapsed="false">
      <c r="A55" s="2" t="str">
        <f aca="false">TEXT(H$4,"mmm yy")</f>
        <v>Mar 27</v>
      </c>
      <c r="B55" s="6" t="n">
        <f aca="false">H$11</f>
        <v>474.8</v>
      </c>
      <c r="C55" s="6" t="n">
        <f aca="false">H$26</f>
        <v>486</v>
      </c>
      <c r="D55" s="6" t="n">
        <f aca="false">H$41</f>
        <v>300.25</v>
      </c>
      <c r="E55" s="2"/>
      <c r="F55" s="2"/>
      <c r="G55" s="2"/>
      <c r="H55" s="2"/>
      <c r="I55" s="2"/>
      <c r="J55" s="2"/>
      <c r="K55" s="2"/>
      <c r="L55" s="2"/>
      <c r="M55" s="2"/>
    </row>
    <row r="56" customFormat="false" ht="15" hidden="false" customHeight="false" outlineLevel="0" collapsed="false">
      <c r="A56" s="2" t="str">
        <f aca="false">TEXT(I$4,"mmm yy")</f>
        <v>Apr 27</v>
      </c>
      <c r="B56" s="6" t="n">
        <f aca="false">I$11</f>
        <v>474.8</v>
      </c>
      <c r="C56" s="6" t="n">
        <f aca="false">I$26</f>
        <v>486</v>
      </c>
      <c r="D56" s="6" t="n">
        <f aca="false">I$41</f>
        <v>300.25</v>
      </c>
      <c r="E56" s="2"/>
      <c r="F56" s="2"/>
      <c r="G56" s="2"/>
      <c r="H56" s="2"/>
      <c r="I56" s="2"/>
      <c r="J56" s="2"/>
      <c r="K56" s="2"/>
      <c r="L56" s="2"/>
      <c r="M56" s="2"/>
    </row>
    <row r="57" customFormat="false" ht="15" hidden="false" customHeight="false" outlineLevel="0" collapsed="false">
      <c r="A57" s="2" t="str">
        <f aca="false">TEXT(J$4,"mmm yy")</f>
        <v>May 27</v>
      </c>
      <c r="B57" s="6" t="n">
        <f aca="false">J$11</f>
        <v>474.8</v>
      </c>
      <c r="C57" s="6" t="n">
        <f aca="false">J$26</f>
        <v>486</v>
      </c>
      <c r="D57" s="6" t="n">
        <f aca="false">J$41</f>
        <v>300.25</v>
      </c>
      <c r="E57" s="2"/>
      <c r="F57" s="2"/>
      <c r="G57" s="2"/>
      <c r="H57" s="2"/>
      <c r="I57" s="2"/>
      <c r="J57" s="2"/>
      <c r="K57" s="2"/>
      <c r="L57" s="2"/>
      <c r="M57" s="2"/>
    </row>
    <row r="58" customFormat="false" ht="15" hidden="false" customHeight="false" outlineLevel="0" collapsed="false">
      <c r="A58" s="2" t="str">
        <f aca="false">TEXT(K$4,"mmm yy")</f>
        <v>Jun 27</v>
      </c>
      <c r="B58" s="6" t="n">
        <f aca="false">K$11</f>
        <v>474.8</v>
      </c>
      <c r="C58" s="6" t="n">
        <f aca="false">K$26</f>
        <v>486</v>
      </c>
      <c r="D58" s="6" t="n">
        <f aca="false">K$41</f>
        <v>300.25</v>
      </c>
      <c r="E58" s="2"/>
      <c r="F58" s="2"/>
      <c r="G58" s="2"/>
      <c r="H58" s="2"/>
      <c r="I58" s="2"/>
      <c r="J58" s="2"/>
      <c r="K58" s="2"/>
      <c r="L58" s="2"/>
      <c r="M58" s="2"/>
    </row>
    <row r="59" customFormat="false" ht="15" hidden="false" customHeight="false" outlineLevel="0" collapsed="false">
      <c r="A59" s="2" t="str">
        <f aca="false">TEXT(L$4,"mmm yy")</f>
        <v>Jul 27</v>
      </c>
      <c r="B59" s="6" t="n">
        <f aca="false">L$11</f>
        <v>474.8</v>
      </c>
      <c r="C59" s="6" t="n">
        <f aca="false">L$26</f>
        <v>486</v>
      </c>
      <c r="D59" s="6" t="n">
        <f aca="false">L$41</f>
        <v>300.25</v>
      </c>
      <c r="E59" s="2"/>
      <c r="F59" s="2"/>
      <c r="G59" s="2"/>
      <c r="H59" s="2"/>
      <c r="I59" s="2"/>
      <c r="J59" s="2"/>
      <c r="K59" s="2"/>
      <c r="L59" s="2"/>
      <c r="M59" s="2"/>
    </row>
    <row r="60" customFormat="false" ht="15" hidden="false" customHeight="false" outlineLevel="0" collapsed="false">
      <c r="A60" s="2" t="str">
        <f aca="false">TEXT(M$4,"mmm yy")</f>
        <v>Aug 27</v>
      </c>
      <c r="B60" s="6" t="n">
        <f aca="false">M$11</f>
        <v>474.8</v>
      </c>
      <c r="C60" s="6" t="n">
        <f aca="false">M$26</f>
        <v>486</v>
      </c>
      <c r="D60" s="6" t="n">
        <f aca="false">M$41</f>
        <v>300.25</v>
      </c>
      <c r="E60" s="2"/>
      <c r="F60" s="2"/>
      <c r="G60" s="2"/>
      <c r="H60" s="2"/>
      <c r="I60" s="2"/>
      <c r="J60" s="2"/>
      <c r="K60" s="2"/>
      <c r="L60" s="2"/>
      <c r="M60" s="2"/>
    </row>
  </sheetData>
  <mergeCells count="5">
    <mergeCell ref="A1:M1"/>
    <mergeCell ref="A2:M2"/>
    <mergeCell ref="A6:M6"/>
    <mergeCell ref="A15:M15"/>
    <mergeCell ref="A32:M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62"/>
    <col collapsed="false" customWidth="true" hidden="false" outlineLevel="0" max="4" min="4" style="0" width="23"/>
    <col collapsed="false" customWidth="true" hidden="false" outlineLevel="0" max="6" min="5" style="0" width="13"/>
  </cols>
  <sheetData>
    <row r="1" customFormat="false" ht="33.75" hidden="false" customHeight="true" outlineLevel="0" collapsed="false">
      <c r="A1" s="1" t="s">
        <v>318</v>
      </c>
      <c r="B1" s="1"/>
      <c r="C1" s="1"/>
      <c r="D1" s="1"/>
      <c r="E1" s="1"/>
      <c r="F1" s="1"/>
    </row>
    <row r="2" customFormat="false" ht="31.5" hidden="false" customHeight="true" outlineLevel="0" collapsed="false">
      <c r="A2" s="3" t="s">
        <v>319</v>
      </c>
      <c r="B2" s="3"/>
      <c r="C2" s="3"/>
      <c r="D2" s="3"/>
      <c r="E2" s="3"/>
      <c r="F2" s="3"/>
    </row>
    <row r="3" customFormat="false" ht="31.5" hidden="false" customHeight="true" outlineLevel="0" collapsed="false">
      <c r="A3" s="3"/>
      <c r="B3" s="3"/>
      <c r="C3" s="3"/>
      <c r="D3" s="3"/>
      <c r="E3" s="3"/>
      <c r="F3" s="3"/>
    </row>
    <row r="4" customFormat="false" ht="25.5" hidden="false" customHeight="true" outlineLevel="0" collapsed="false">
      <c r="A4" s="4" t="s">
        <v>12</v>
      </c>
      <c r="B4" s="4" t="s">
        <v>320</v>
      </c>
      <c r="C4" s="4" t="s">
        <v>321</v>
      </c>
      <c r="D4" s="2"/>
      <c r="E4" s="2"/>
      <c r="F4" s="2"/>
    </row>
    <row r="5" customFormat="false" ht="15" hidden="false" customHeight="false" outlineLevel="0" collapsed="false">
      <c r="A5" s="13" t="s">
        <v>322</v>
      </c>
      <c r="B5" s="44" t="n">
        <f aca="false">Assumptions!B13</f>
        <v>10</v>
      </c>
      <c r="C5" s="13" t="s">
        <v>323</v>
      </c>
      <c r="D5" s="2"/>
      <c r="E5" s="2"/>
      <c r="F5" s="2"/>
    </row>
    <row r="6" customFormat="false" ht="15" hidden="false" customHeight="false" outlineLevel="0" collapsed="false">
      <c r="A6" s="15" t="s">
        <v>324</v>
      </c>
      <c r="B6" s="45" t="n">
        <f aca="false">Assumptions!B13*Assumptions!B17+Assumptions!B18</f>
        <v>0.59</v>
      </c>
      <c r="C6" s="15" t="s">
        <v>325</v>
      </c>
      <c r="D6" s="2"/>
      <c r="E6" s="2"/>
      <c r="F6" s="2"/>
    </row>
    <row r="7" customFormat="false" ht="15" hidden="false" customHeight="false" outlineLevel="0" collapsed="false">
      <c r="A7" s="15" t="s">
        <v>326</v>
      </c>
      <c r="B7" s="45" t="n">
        <f aca="false">Assumptions!B13*Assumptions!B19</f>
        <v>0.07</v>
      </c>
      <c r="C7" s="15" t="s">
        <v>327</v>
      </c>
      <c r="D7" s="2"/>
      <c r="E7" s="2"/>
      <c r="F7" s="2"/>
    </row>
    <row r="8" customFormat="false" ht="15" hidden="false" customHeight="false" outlineLevel="0" collapsed="false">
      <c r="A8" s="15" t="s">
        <v>328</v>
      </c>
      <c r="B8" s="45" t="n">
        <f aca="false">SUM(B6:B7)</f>
        <v>0.66</v>
      </c>
      <c r="C8" s="15" t="s">
        <v>329</v>
      </c>
      <c r="D8" s="2"/>
      <c r="E8" s="2"/>
      <c r="F8" s="2"/>
    </row>
    <row r="9" customFormat="false" ht="15" hidden="false" customHeight="false" outlineLevel="0" collapsed="false">
      <c r="A9" s="15" t="s">
        <v>330</v>
      </c>
      <c r="B9" s="45" t="n">
        <f aca="false">Assumptions!B14*(Assumptions!B15/1000000*Assumptions!B20+Assumptions!B16/1000000*Assumptions!B21)</f>
        <v>0.02625</v>
      </c>
      <c r="C9" s="15" t="s">
        <v>331</v>
      </c>
      <c r="D9" s="2"/>
      <c r="E9" s="2"/>
      <c r="F9" s="2"/>
    </row>
    <row r="10" customFormat="false" ht="15" hidden="false" customHeight="false" outlineLevel="0" collapsed="false">
      <c r="A10" s="15" t="s">
        <v>332</v>
      </c>
      <c r="B10" s="45" t="n">
        <f aca="false">Assumptions!B14*(Assumptions!B15/1000000*Assumptions!B22+Assumptions!B16/1000000*Assumptions!B23)</f>
        <v>0.0525</v>
      </c>
      <c r="C10" s="15" t="s">
        <v>333</v>
      </c>
      <c r="D10" s="2"/>
      <c r="E10" s="2"/>
      <c r="F10" s="2"/>
    </row>
    <row r="11" customFormat="false" ht="15" hidden="false" customHeight="false" outlineLevel="0" collapsed="false">
      <c r="A11" s="40" t="s">
        <v>8</v>
      </c>
      <c r="B11" s="64" t="n">
        <f aca="false">Assumptions!B13-B8-B10</f>
        <v>9.2875</v>
      </c>
      <c r="C11" s="40" t="s">
        <v>334</v>
      </c>
      <c r="D11" s="2"/>
      <c r="E11" s="2"/>
      <c r="F11" s="2"/>
    </row>
    <row r="12" customFormat="false" ht="15" hidden="false" customHeight="false" outlineLevel="0" collapsed="false">
      <c r="A12" s="40" t="s">
        <v>335</v>
      </c>
      <c r="B12" s="65" t="n">
        <f aca="false">B11/Assumptions!B13</f>
        <v>0.92875</v>
      </c>
      <c r="C12" s="40" t="s">
        <v>336</v>
      </c>
      <c r="D12" s="2"/>
      <c r="E12" s="2"/>
      <c r="F12" s="2"/>
    </row>
    <row r="13" customFormat="false" ht="15" hidden="false" customHeight="false" outlineLevel="0" collapsed="false">
      <c r="A13" s="40" t="s">
        <v>337</v>
      </c>
      <c r="B13" s="66" t="n">
        <f aca="false">CEILING(Assumptions!B25/B11,1)</f>
        <v>5</v>
      </c>
      <c r="C13" s="40" t="s">
        <v>338</v>
      </c>
      <c r="D13" s="2"/>
      <c r="E13" s="2"/>
      <c r="F13" s="2"/>
    </row>
    <row r="14" customFormat="false" ht="15" hidden="false" customHeight="false" outlineLevel="0" collapsed="false">
      <c r="A14" s="40" t="s">
        <v>339</v>
      </c>
      <c r="B14" s="66" t="n">
        <f aca="false">CEILING(Assumptions!B26/B11,1)</f>
        <v>8</v>
      </c>
      <c r="C14" s="40" t="s">
        <v>340</v>
      </c>
      <c r="D14" s="2"/>
      <c r="E14" s="2"/>
      <c r="F14" s="2"/>
    </row>
    <row r="15" customFormat="false" ht="15" hidden="false" customHeight="false" outlineLevel="0" collapsed="false">
      <c r="A15" s="40" t="s">
        <v>341</v>
      </c>
      <c r="B15" s="67" t="n">
        <f aca="false">B11*Assumptions!B11</f>
        <v>55.725</v>
      </c>
      <c r="C15" s="40" t="s">
        <v>342</v>
      </c>
      <c r="D15" s="2"/>
      <c r="E15" s="2"/>
      <c r="F15" s="2"/>
    </row>
    <row r="16" customFormat="false" ht="15" hidden="false" customHeight="false" outlineLevel="0" collapsed="false">
      <c r="A16" s="40" t="s">
        <v>10</v>
      </c>
      <c r="B16" s="67" t="n">
        <f aca="false">B15/3</f>
        <v>18.575</v>
      </c>
      <c r="C16" s="40" t="s">
        <v>343</v>
      </c>
      <c r="D16" s="2"/>
      <c r="E16" s="2"/>
      <c r="F16" s="2"/>
    </row>
    <row r="17" customFormat="false" ht="15" hidden="false" customHeight="false" outlineLevel="0" collapsed="false">
      <c r="A17" s="52" t="s">
        <v>344</v>
      </c>
      <c r="B17" s="68" t="n">
        <f aca="false">B16/B11</f>
        <v>2</v>
      </c>
      <c r="C17" s="52" t="s">
        <v>345</v>
      </c>
      <c r="D17" s="2"/>
      <c r="E17" s="2"/>
      <c r="F17" s="2"/>
    </row>
    <row r="18" customFormat="false" ht="15" hidden="false" customHeight="false" outlineLevel="0" collapsed="false">
      <c r="A18" s="2"/>
      <c r="B18" s="2"/>
      <c r="C18" s="2"/>
      <c r="D18" s="2"/>
      <c r="E18" s="2"/>
      <c r="F18" s="2"/>
    </row>
    <row r="19" customFormat="false" ht="15" hidden="false" customHeight="false" outlineLevel="0" collapsed="false">
      <c r="A19" s="2"/>
      <c r="B19" s="2"/>
      <c r="C19" s="2"/>
      <c r="D19" s="2"/>
      <c r="E19" s="2"/>
      <c r="F19" s="2"/>
    </row>
    <row r="20" customFormat="false" ht="21.75" hidden="false" customHeight="true" outlineLevel="0" collapsed="false">
      <c r="A20" s="12" t="s">
        <v>346</v>
      </c>
      <c r="B20" s="12"/>
      <c r="C20" s="12"/>
      <c r="D20" s="12"/>
      <c r="E20" s="12"/>
      <c r="F20" s="12"/>
    </row>
    <row r="21" customFormat="false" ht="25.5" hidden="false" customHeight="true" outlineLevel="0" collapsed="false">
      <c r="A21" s="4" t="s">
        <v>170</v>
      </c>
      <c r="B21" s="4" t="s">
        <v>347</v>
      </c>
      <c r="C21" s="4" t="s">
        <v>10</v>
      </c>
      <c r="D21" s="4" t="s">
        <v>348</v>
      </c>
      <c r="E21" s="2"/>
      <c r="F21" s="2"/>
    </row>
    <row r="22" customFormat="false" ht="15" hidden="false" customHeight="false" outlineLevel="0" collapsed="false">
      <c r="A22" s="13" t="n">
        <v>3</v>
      </c>
      <c r="B22" s="47" t="n">
        <f aca="false">$A22*$B$11</f>
        <v>27.8625</v>
      </c>
      <c r="C22" s="47" t="n">
        <f aca="false">B22/3</f>
        <v>9.2875</v>
      </c>
      <c r="D22" s="13" t="s">
        <v>349</v>
      </c>
      <c r="E22" s="2"/>
      <c r="F22" s="2"/>
    </row>
    <row r="23" customFormat="false" ht="15" hidden="false" customHeight="false" outlineLevel="0" collapsed="false">
      <c r="A23" s="15" t="n">
        <v>6</v>
      </c>
      <c r="B23" s="48" t="n">
        <f aca="false">$A23*$B$11</f>
        <v>55.725</v>
      </c>
      <c r="C23" s="48" t="n">
        <f aca="false">B23/3</f>
        <v>18.575</v>
      </c>
      <c r="D23" s="15" t="s">
        <v>350</v>
      </c>
      <c r="E23" s="2"/>
      <c r="F23" s="2"/>
    </row>
    <row r="24" customFormat="false" ht="15" hidden="false" customHeight="false" outlineLevel="0" collapsed="false">
      <c r="A24" s="15" t="n">
        <v>12</v>
      </c>
      <c r="B24" s="48" t="n">
        <f aca="false">$A24*$B$11</f>
        <v>111.45</v>
      </c>
      <c r="C24" s="48" t="n">
        <f aca="false">B24/3</f>
        <v>37.15</v>
      </c>
      <c r="D24" s="15" t="s">
        <v>349</v>
      </c>
      <c r="E24" s="2"/>
      <c r="F24" s="2"/>
    </row>
    <row r="25" customFormat="false" ht="15" hidden="false" customHeight="false" outlineLevel="0" collapsed="false">
      <c r="A25" s="17" t="n">
        <v>18</v>
      </c>
      <c r="B25" s="69" t="n">
        <f aca="false">$A25*$B$11</f>
        <v>167.175</v>
      </c>
      <c r="C25" s="69" t="n">
        <f aca="false">B25/3</f>
        <v>55.725</v>
      </c>
      <c r="D25" s="17" t="s">
        <v>349</v>
      </c>
      <c r="E25" s="2"/>
      <c r="F25" s="2"/>
    </row>
    <row r="26" customFormat="false" ht="15" hidden="false" customHeight="false" outlineLevel="0" collapsed="false">
      <c r="A26" s="2"/>
      <c r="B26" s="2"/>
      <c r="C26" s="2"/>
      <c r="D26" s="2"/>
      <c r="E26" s="2"/>
      <c r="F26" s="2"/>
    </row>
    <row r="27" customFormat="false" ht="15" hidden="false" customHeight="false" outlineLevel="0" collapsed="false">
      <c r="A27" s="2"/>
      <c r="B27" s="2"/>
      <c r="C27" s="2"/>
      <c r="D27" s="2"/>
      <c r="E27" s="2"/>
      <c r="F27" s="2"/>
    </row>
    <row r="28" customFormat="false" ht="21.75" hidden="false" customHeight="true" outlineLevel="0" collapsed="false">
      <c r="A28" s="12" t="s">
        <v>351</v>
      </c>
      <c r="B28" s="12"/>
      <c r="C28" s="12"/>
      <c r="D28" s="12"/>
      <c r="E28" s="12"/>
      <c r="F28" s="12"/>
    </row>
    <row r="29" customFormat="false" ht="15" hidden="false" customHeight="false" outlineLevel="0" collapsed="false">
      <c r="A29" s="13" t="s">
        <v>352</v>
      </c>
      <c r="B29" s="13" t="s">
        <v>353</v>
      </c>
      <c r="C29" s="2"/>
      <c r="D29" s="2"/>
      <c r="E29" s="2"/>
      <c r="F29" s="2"/>
    </row>
    <row r="30" customFormat="false" ht="15" hidden="false" customHeight="false" outlineLevel="0" collapsed="false">
      <c r="A30" s="15" t="s">
        <v>354</v>
      </c>
      <c r="B30" s="15" t="s">
        <v>355</v>
      </c>
      <c r="C30" s="2"/>
      <c r="D30" s="2"/>
      <c r="E30" s="2"/>
      <c r="F30" s="2"/>
    </row>
    <row r="31" customFormat="false" ht="15" hidden="false" customHeight="false" outlineLevel="0" collapsed="false">
      <c r="A31" s="15" t="s">
        <v>305</v>
      </c>
      <c r="B31" s="15" t="s">
        <v>356</v>
      </c>
      <c r="C31" s="2"/>
      <c r="D31" s="2"/>
      <c r="E31" s="2"/>
      <c r="F31" s="2"/>
    </row>
    <row r="32" customFormat="false" ht="15" hidden="false" customHeight="false" outlineLevel="0" collapsed="false">
      <c r="A32" s="15" t="s">
        <v>357</v>
      </c>
      <c r="B32" s="15" t="s">
        <v>358</v>
      </c>
      <c r="C32" s="2"/>
      <c r="D32" s="2"/>
      <c r="E32" s="2"/>
      <c r="F32" s="2"/>
    </row>
    <row r="33" customFormat="false" ht="15" hidden="false" customHeight="false" outlineLevel="0" collapsed="false">
      <c r="A33" s="15" t="s">
        <v>359</v>
      </c>
      <c r="B33" s="15" t="s">
        <v>360</v>
      </c>
      <c r="C33" s="2"/>
      <c r="D33" s="2"/>
      <c r="E33" s="2"/>
      <c r="F33" s="2"/>
    </row>
    <row r="34" customFormat="false" ht="15" hidden="false" customHeight="false" outlineLevel="0" collapsed="false">
      <c r="A34" s="15" t="s">
        <v>167</v>
      </c>
      <c r="B34" s="15" t="s">
        <v>361</v>
      </c>
      <c r="C34" s="2"/>
      <c r="D34" s="2"/>
      <c r="E34" s="2"/>
      <c r="F34" s="2"/>
    </row>
    <row r="35" customFormat="false" ht="15" hidden="false" customHeight="false" outlineLevel="0" collapsed="false">
      <c r="A35" s="17" t="s">
        <v>362</v>
      </c>
      <c r="B35" s="17" t="s">
        <v>363</v>
      </c>
      <c r="C35" s="2"/>
      <c r="D35" s="2"/>
      <c r="E35" s="2"/>
      <c r="F35" s="2"/>
    </row>
  </sheetData>
  <mergeCells count="4">
    <mergeCell ref="A1:F1"/>
    <mergeCell ref="A2:F3"/>
    <mergeCell ref="A20:F20"/>
    <mergeCell ref="A28:F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3" min="2" style="0" width="14"/>
  </cols>
  <sheetData>
    <row r="1" customFormat="false" ht="22.05" hidden="false" customHeight="false" outlineLevel="0" collapsed="false">
      <c r="A1" s="1" t="s">
        <v>364</v>
      </c>
      <c r="B1" s="1"/>
      <c r="C1" s="1"/>
      <c r="D1" s="1"/>
      <c r="E1" s="1"/>
      <c r="F1" s="1"/>
      <c r="G1" s="1"/>
      <c r="H1" s="1"/>
      <c r="I1" s="1"/>
      <c r="J1" s="1"/>
      <c r="K1" s="1"/>
      <c r="L1" s="1"/>
      <c r="M1" s="1"/>
    </row>
    <row r="2" customFormat="false" ht="48" hidden="false" customHeight="true" outlineLevel="0" collapsed="false">
      <c r="A2" s="70" t="s">
        <v>365</v>
      </c>
      <c r="B2" s="70"/>
      <c r="C2" s="70"/>
      <c r="D2" s="70"/>
      <c r="E2" s="70"/>
      <c r="F2" s="70"/>
      <c r="G2" s="70"/>
      <c r="H2" s="70"/>
      <c r="I2" s="70"/>
      <c r="J2" s="70"/>
      <c r="K2" s="70"/>
      <c r="L2" s="70"/>
      <c r="M2" s="70"/>
    </row>
    <row r="5" customFormat="false" ht="15" hidden="false" customHeight="false" outlineLevel="0" collapsed="false">
      <c r="A5" s="71" t="s">
        <v>366</v>
      </c>
      <c r="B5" s="71"/>
      <c r="C5" s="71"/>
      <c r="D5" s="71"/>
      <c r="E5" s="71"/>
      <c r="F5" s="71"/>
      <c r="G5" s="71"/>
      <c r="H5" s="71"/>
      <c r="I5" s="71"/>
      <c r="J5" s="71"/>
      <c r="K5" s="71"/>
      <c r="L5" s="71"/>
      <c r="M5" s="71"/>
    </row>
    <row r="6" customFormat="false" ht="15" hidden="false" customHeight="false" outlineLevel="0" collapsed="false">
      <c r="A6" s="4" t="s">
        <v>12</v>
      </c>
      <c r="B6" s="4" t="s">
        <v>164</v>
      </c>
      <c r="C6" s="4" t="s">
        <v>367</v>
      </c>
      <c r="D6" s="4" t="s">
        <v>367</v>
      </c>
      <c r="E6" s="4" t="s">
        <v>61</v>
      </c>
    </row>
    <row r="7" customFormat="false" ht="15" hidden="false" customHeight="false" outlineLevel="0" collapsed="false">
      <c r="A7" s="13" t="s">
        <v>20</v>
      </c>
      <c r="B7" s="27" t="n">
        <f aca="false">Assumptions!B13</f>
        <v>10</v>
      </c>
      <c r="C7" s="25" t="n">
        <v>7</v>
      </c>
      <c r="D7" s="25" t="n">
        <v>5</v>
      </c>
      <c r="E7" s="13" t="s">
        <v>129</v>
      </c>
    </row>
    <row r="8" customFormat="false" ht="15" hidden="false" customHeight="false" outlineLevel="0" collapsed="false">
      <c r="A8" s="13" t="s">
        <v>231</v>
      </c>
      <c r="B8" s="72" t="n">
        <f aca="false">B7*(Assumptions!$B$17+Assumptions!$B$19)+Assumptions!$B$18</f>
        <v>0.66</v>
      </c>
      <c r="C8" s="72" t="n">
        <f aca="false">C7*(Assumptions!$B$17+Assumptions!$B$19)+Assumptions!$B$18</f>
        <v>0.552</v>
      </c>
      <c r="D8" s="72" t="n">
        <f aca="false">D7*(Assumptions!$B$17+Assumptions!$B$19)+Assumptions!$B$18</f>
        <v>0.48</v>
      </c>
      <c r="E8" s="13" t="s">
        <v>111</v>
      </c>
    </row>
    <row r="9" customFormat="false" ht="15" hidden="false" customHeight="false" outlineLevel="0" collapsed="false">
      <c r="A9" s="13" t="s">
        <v>368</v>
      </c>
      <c r="B9" s="73" t="n">
        <f aca="false">IF(B7=0,0,B8/B7)</f>
        <v>0.066</v>
      </c>
      <c r="C9" s="73" t="n">
        <f aca="false">IF(C7=0,0,C8/C7)</f>
        <v>0.0788571428571429</v>
      </c>
      <c r="D9" s="73" t="n">
        <f aca="false">IF(D7=0,0,D8/D7)</f>
        <v>0.096</v>
      </c>
      <c r="E9" s="13" t="s">
        <v>369</v>
      </c>
    </row>
    <row r="10" customFormat="false" ht="15" hidden="false" customHeight="false" outlineLevel="0" collapsed="false">
      <c r="A10" s="13" t="s">
        <v>332</v>
      </c>
      <c r="B10" s="72" t="n">
        <f aca="false">'Unit Economics'!$B$10</f>
        <v>0.0525</v>
      </c>
      <c r="C10" s="72" t="n">
        <f aca="false">'Unit Economics'!$B$10</f>
        <v>0.0525</v>
      </c>
      <c r="D10" s="72" t="n">
        <f aca="false">'Unit Economics'!$B$10</f>
        <v>0.0525</v>
      </c>
      <c r="E10" s="13" t="s">
        <v>370</v>
      </c>
    </row>
    <row r="11" customFormat="false" ht="15" hidden="false" customHeight="false" outlineLevel="0" collapsed="false">
      <c r="A11" s="13" t="s">
        <v>8</v>
      </c>
      <c r="B11" s="64" t="n">
        <f aca="false">B7-B8-B10</f>
        <v>9.2875</v>
      </c>
      <c r="C11" s="64" t="n">
        <f aca="false">C7-C8-C10</f>
        <v>6.3955</v>
      </c>
      <c r="D11" s="64" t="n">
        <f aca="false">D7-D8-D10</f>
        <v>4.4675</v>
      </c>
      <c r="E11" s="13" t="s">
        <v>129</v>
      </c>
    </row>
    <row r="12" customFormat="false" ht="15" hidden="false" customHeight="false" outlineLevel="0" collapsed="false">
      <c r="A12" s="13" t="s">
        <v>335</v>
      </c>
      <c r="B12" s="65" t="n">
        <f aca="false">IF(B7=0,0,B11/B7)</f>
        <v>0.92875</v>
      </c>
      <c r="C12" s="65" t="n">
        <f aca="false">IF(C7=0,0,C11/C7)</f>
        <v>0.913642857142857</v>
      </c>
      <c r="D12" s="65" t="n">
        <f aca="false">IF(D7=0,0,D11/D7)</f>
        <v>0.8935</v>
      </c>
      <c r="E12" s="13" t="s">
        <v>369</v>
      </c>
    </row>
    <row r="13" customFormat="false" ht="15" hidden="false" customHeight="false" outlineLevel="0" collapsed="false">
      <c r="A13" s="13" t="s">
        <v>341</v>
      </c>
      <c r="B13" s="27" t="n">
        <f aca="false">B11*Assumptions!$B$11</f>
        <v>55.725</v>
      </c>
      <c r="C13" s="27" t="n">
        <f aca="false">C11*Assumptions!$B$11</f>
        <v>38.373</v>
      </c>
      <c r="D13" s="27" t="n">
        <f aca="false">D11*Assumptions!$B$11</f>
        <v>26.805</v>
      </c>
      <c r="E13" s="13" t="s">
        <v>151</v>
      </c>
    </row>
    <row r="14" customFormat="false" ht="15" hidden="false" customHeight="false" outlineLevel="0" collapsed="false">
      <c r="A14" s="13" t="s">
        <v>10</v>
      </c>
      <c r="B14" s="74" t="n">
        <f aca="false">B13/3</f>
        <v>18.575</v>
      </c>
      <c r="C14" s="74" t="n">
        <f aca="false">C13/3</f>
        <v>12.791</v>
      </c>
      <c r="D14" s="74" t="n">
        <f aca="false">D13/3</f>
        <v>8.935</v>
      </c>
      <c r="E14" s="13" t="s">
        <v>147</v>
      </c>
    </row>
    <row r="16" customFormat="false" ht="15" hidden="false" customHeight="false" outlineLevel="0" collapsed="false">
      <c r="A16" s="71" t="s">
        <v>371</v>
      </c>
      <c r="B16" s="71"/>
      <c r="C16" s="71"/>
      <c r="D16" s="71"/>
      <c r="E16" s="71"/>
      <c r="F16" s="71"/>
      <c r="G16" s="71"/>
      <c r="H16" s="71"/>
      <c r="I16" s="71"/>
      <c r="J16" s="71"/>
      <c r="K16" s="71"/>
      <c r="L16" s="71"/>
      <c r="M16" s="71"/>
    </row>
    <row r="17" customFormat="false" ht="25.35" hidden="false" customHeight="false" outlineLevel="0" collapsed="false">
      <c r="A17" s="4" t="s">
        <v>372</v>
      </c>
      <c r="B17" s="4" t="s">
        <v>164</v>
      </c>
      <c r="C17" s="4" t="s">
        <v>367</v>
      </c>
      <c r="D17" s="4" t="s">
        <v>367</v>
      </c>
      <c r="E17" s="4" t="s">
        <v>373</v>
      </c>
    </row>
    <row r="18" customFormat="false" ht="15" hidden="false" customHeight="false" outlineLevel="0" collapsed="false">
      <c r="A18" s="13" t="s">
        <v>374</v>
      </c>
      <c r="B18" s="27" t="n">
        <f aca="false">Assumptions!$B$9*'Unit Economics'!$B$10</f>
        <v>26.25</v>
      </c>
      <c r="C18" s="27" t="n">
        <f aca="false">Assumptions!$B$9*'Unit Economics'!$B$10</f>
        <v>26.25</v>
      </c>
      <c r="D18" s="27" t="n">
        <f aca="false">Assumptions!$B$9*'Unit Economics'!$B$10</f>
        <v>26.25</v>
      </c>
      <c r="E18" s="13" t="s">
        <v>375</v>
      </c>
    </row>
    <row r="19" customFormat="false" ht="15" hidden="false" customHeight="false" outlineLevel="0" collapsed="false">
      <c r="A19" s="13" t="s">
        <v>376</v>
      </c>
      <c r="B19" s="66" t="n">
        <f aca="false">IF(B11&lt;=0,"never",CEILING(Assumptions!$B$25/B11,1))</f>
        <v>5</v>
      </c>
      <c r="C19" s="66" t="n">
        <f aca="false">IF(C11&lt;=0,"never",CEILING(Assumptions!$B$25/C11,1))</f>
        <v>8</v>
      </c>
      <c r="D19" s="66" t="n">
        <f aca="false">IF(D11&lt;=0,"never",CEILING(Assumptions!$B$25/D11,1))</f>
        <v>11</v>
      </c>
      <c r="E19" s="27" t="n">
        <f aca="false">Assumptions!$B$25</f>
        <v>45</v>
      </c>
    </row>
    <row r="20" customFormat="false" ht="15" hidden="false" customHeight="false" outlineLevel="0" collapsed="false">
      <c r="A20" s="13" t="s">
        <v>377</v>
      </c>
      <c r="B20" s="66" t="n">
        <f aca="false">IF(B11&lt;=0,"never",CEILING((Assumptions!$B$25+B18)/B11,1))</f>
        <v>8</v>
      </c>
      <c r="C20" s="66" t="n">
        <f aca="false">IF(C11&lt;=0,"never",CEILING((Assumptions!$B$25+C18)/C11,1))</f>
        <v>12</v>
      </c>
      <c r="D20" s="66" t="n">
        <f aca="false">IF(D11&lt;=0,"never",CEILING((Assumptions!$B$25+D18)/D11,1))</f>
        <v>16</v>
      </c>
      <c r="E20" s="27" t="n">
        <f aca="false">(Assumptions!$B$25+B18)</f>
        <v>71.25</v>
      </c>
    </row>
    <row r="21" customFormat="false" ht="15" hidden="false" customHeight="false" outlineLevel="0" collapsed="false">
      <c r="A21" s="13" t="s">
        <v>378</v>
      </c>
      <c r="B21" s="66" t="n">
        <f aca="false">IF(B11&lt;=0,"never",CEILING((Assumptions!$B$26+B18)/B11,1))</f>
        <v>11</v>
      </c>
      <c r="C21" s="66" t="n">
        <f aca="false">IF(C11&lt;=0,"never",CEILING((Assumptions!$B$26+C18)/C11,1))</f>
        <v>16</v>
      </c>
      <c r="D21" s="66" t="n">
        <f aca="false">IF(D11&lt;=0,"never",CEILING((Assumptions!$B$26+D18)/D11,1))</f>
        <v>22</v>
      </c>
      <c r="E21" s="27" t="n">
        <f aca="false">(Assumptions!$B$26+B18)</f>
        <v>97.25</v>
      </c>
    </row>
    <row r="23" customFormat="false" ht="15" hidden="false" customHeight="false" outlineLevel="0" collapsed="false">
      <c r="A23" s="71" t="s">
        <v>379</v>
      </c>
      <c r="B23" s="71"/>
      <c r="C23" s="71"/>
      <c r="D23" s="71"/>
      <c r="E23" s="71"/>
      <c r="F23" s="71"/>
      <c r="G23" s="71"/>
      <c r="H23" s="71"/>
      <c r="I23" s="71"/>
      <c r="J23" s="71"/>
      <c r="K23" s="71"/>
      <c r="L23" s="71"/>
      <c r="M23" s="71"/>
    </row>
    <row r="24" customFormat="false" ht="15" hidden="false" customHeight="false" outlineLevel="0" collapsed="false">
      <c r="A24" s="4" t="s">
        <v>12</v>
      </c>
      <c r="B24" s="4" t="s">
        <v>164</v>
      </c>
      <c r="C24" s="4" t="s">
        <v>367</v>
      </c>
      <c r="D24" s="4" t="s">
        <v>367</v>
      </c>
      <c r="E24" s="4" t="s">
        <v>61</v>
      </c>
    </row>
    <row r="25" customFormat="false" ht="15" hidden="false" customHeight="false" outlineLevel="0" collapsed="false">
      <c r="A25" s="13" t="s">
        <v>380</v>
      </c>
      <c r="B25" s="75" t="n">
        <f aca="false">Assumptions!$B$10*Assumptions!$B$11</f>
        <v>60</v>
      </c>
      <c r="C25" s="75" t="n">
        <f aca="false">Assumptions!$B$10*Assumptions!$B$11</f>
        <v>60</v>
      </c>
      <c r="D25" s="75" t="n">
        <f aca="false">Assumptions!$B$10*Assumptions!$B$11</f>
        <v>60</v>
      </c>
      <c r="E25" s="13" t="s">
        <v>80</v>
      </c>
    </row>
    <row r="26" customFormat="false" ht="15" hidden="false" customHeight="false" outlineLevel="0" collapsed="false">
      <c r="A26" s="13" t="s">
        <v>381</v>
      </c>
      <c r="B26" s="62" t="n">
        <f aca="false">B25*B11-Assumptions!$B$28-B18</f>
        <v>486</v>
      </c>
      <c r="C26" s="62" t="n">
        <f aca="false">C25*C11-Assumptions!$B$28-C18</f>
        <v>312.48</v>
      </c>
      <c r="D26" s="62" t="n">
        <f aca="false">D25*D11-Assumptions!$B$28-D18</f>
        <v>196.8</v>
      </c>
      <c r="E26" s="13" t="s">
        <v>129</v>
      </c>
    </row>
    <row r="27" customFormat="false" ht="15" hidden="false" customHeight="false" outlineLevel="0" collapsed="false">
      <c r="A27" s="13" t="s">
        <v>382</v>
      </c>
      <c r="B27" s="76" t="n">
        <f aca="false">IF(B11&lt;=0,"n/a",($B$26+Assumptions!$B$28+B18)/B11)</f>
        <v>60</v>
      </c>
      <c r="C27" s="76" t="n">
        <f aca="false">IF(C11&lt;=0,"n/a",($B$26+Assumptions!$B$28+C18)/C11)</f>
        <v>87.1315768900008</v>
      </c>
      <c r="D27" s="76" t="n">
        <f aca="false">IF(D11&lt;=0,"n/a",($B$26+Assumptions!$B$28+D18)/D11)</f>
        <v>124.734191382205</v>
      </c>
      <c r="E27" s="13" t="s">
        <v>80</v>
      </c>
    </row>
    <row r="28" customFormat="false" ht="15" hidden="false" customHeight="false" outlineLevel="0" collapsed="false">
      <c r="A28" s="13" t="s">
        <v>383</v>
      </c>
      <c r="B28" s="77" t="n">
        <f aca="false">IF(B11&lt;=0,"n/a",B27/(Assumptions!$B$11*Assumptions!$B$9))</f>
        <v>0.02</v>
      </c>
      <c r="C28" s="77" t="n">
        <f aca="false">IF(C11&lt;=0,"n/a",C27/(Assumptions!$B$11*Assumptions!$B$9))</f>
        <v>0.0290438589633336</v>
      </c>
      <c r="D28" s="77" t="n">
        <f aca="false">IF(D11&lt;=0,"n/a",D27/(Assumptions!$B$11*Assumptions!$B$9))</f>
        <v>0.0415780637940683</v>
      </c>
      <c r="E28" s="13" t="s">
        <v>384</v>
      </c>
    </row>
    <row r="29" customFormat="false" ht="15" hidden="false" customHeight="false" outlineLevel="0" collapsed="false">
      <c r="A29" s="13" t="s">
        <v>385</v>
      </c>
      <c r="B29" s="78" t="n">
        <f aca="false">IF(B11&lt;=0,"n/a",B27/B25)</f>
        <v>1</v>
      </c>
      <c r="C29" s="78" t="n">
        <f aca="false">IF(C11&lt;=0,"n/a",C27/C25)</f>
        <v>1.45219294816668</v>
      </c>
      <c r="D29" s="78" t="n">
        <f aca="false">IF(D11&lt;=0,"n/a",D27/D25)</f>
        <v>2.07890318970341</v>
      </c>
      <c r="E29" s="13" t="s">
        <v>386</v>
      </c>
    </row>
    <row r="31" customFormat="false" ht="15" hidden="false" customHeight="false" outlineLevel="0" collapsed="false">
      <c r="A31" s="71" t="s">
        <v>387</v>
      </c>
      <c r="B31" s="71"/>
      <c r="C31" s="71"/>
      <c r="D31" s="71"/>
      <c r="E31" s="71"/>
      <c r="F31" s="71"/>
      <c r="G31" s="71"/>
      <c r="H31" s="71"/>
      <c r="I31" s="71"/>
      <c r="J31" s="71"/>
      <c r="K31" s="71"/>
      <c r="L31" s="71"/>
      <c r="M31" s="71"/>
    </row>
    <row r="32" customFormat="false" ht="15" hidden="false" customHeight="false" outlineLevel="0" collapsed="false">
      <c r="A32" s="4" t="s">
        <v>44</v>
      </c>
      <c r="B32" s="4" t="s">
        <v>164</v>
      </c>
      <c r="C32" s="4" t="s">
        <v>367</v>
      </c>
      <c r="D32" s="4" t="s">
        <v>367</v>
      </c>
      <c r="E32" s="4" t="s">
        <v>388</v>
      </c>
    </row>
    <row r="33" customFormat="false" ht="15" hidden="false" customHeight="false" outlineLevel="0" collapsed="false">
      <c r="A33" s="13" t="s">
        <v>389</v>
      </c>
      <c r="B33" s="27" t="n">
        <f aca="false">B7</f>
        <v>10</v>
      </c>
      <c r="C33" s="27" t="n">
        <f aca="false">C7</f>
        <v>7</v>
      </c>
      <c r="D33" s="27" t="n">
        <f aca="false">D7</f>
        <v>5</v>
      </c>
    </row>
    <row r="34" customFormat="false" ht="15" hidden="false" customHeight="false" outlineLevel="0" collapsed="false">
      <c r="A34" s="13" t="s">
        <v>390</v>
      </c>
      <c r="B34" s="66" t="n">
        <f aca="false">IF(SUM(B65:M65)=0,"none in 12",MATCH(1,B65:M65,0))</f>
        <v>2</v>
      </c>
      <c r="C34" s="66" t="n">
        <f aca="false">IF(SUM(B75:M75)=0,"none in 12",MATCH(1,B75:M75,0))</f>
        <v>2</v>
      </c>
      <c r="D34" s="66" t="n">
        <f aca="false">IF(SUM(B85:M85)=0,"none in 12",MATCH(1,B85:M85,0))</f>
        <v>3</v>
      </c>
      <c r="E34" s="13" t="s">
        <v>391</v>
      </c>
    </row>
    <row r="35" customFormat="false" ht="15" hidden="false" customHeight="false" outlineLevel="0" collapsed="false">
      <c r="A35" s="13" t="s">
        <v>392</v>
      </c>
      <c r="B35" s="66" t="n">
        <f aca="false">IF(SUM(B66:M66)=0,"none in 12",MATCH(1,B66:M66,0))</f>
        <v>3</v>
      </c>
      <c r="C35" s="66" t="n">
        <f aca="false">IF(SUM(B76:M76)=0,"none in 12",MATCH(1,B76:M76,0))</f>
        <v>3</v>
      </c>
      <c r="D35" s="66" t="n">
        <f aca="false">IF(SUM(B86:M86)=0,"none in 12",MATCH(1,B86:M86,0))</f>
        <v>4</v>
      </c>
    </row>
    <row r="36" customFormat="false" ht="15" hidden="false" customHeight="false" outlineLevel="0" collapsed="false">
      <c r="A36" s="13" t="s">
        <v>393</v>
      </c>
      <c r="B36" s="66" t="n">
        <f aca="false">IF(SUM(B67:M67)=0,"none in 12",MATCH(1,B67:M67,0))</f>
        <v>4</v>
      </c>
      <c r="C36" s="66" t="n">
        <f aca="false">IF(SUM(B77:M77)=0,"none in 12",MATCH(1,B77:M77,0))</f>
        <v>4</v>
      </c>
      <c r="D36" s="66" t="n">
        <f aca="false">IF(SUM(B87:M87)=0,"none in 12",MATCH(1,B87:M87,0))</f>
        <v>5</v>
      </c>
      <c r="E36" s="13" t="s">
        <v>394</v>
      </c>
    </row>
    <row r="37" customFormat="false" ht="15" hidden="false" customHeight="false" outlineLevel="0" collapsed="false">
      <c r="A37" s="13" t="s">
        <v>395</v>
      </c>
      <c r="B37" s="66" t="n">
        <f aca="false">IF(SUM(B68:M68)=0,"none in 12",MATCH(1,B68:M68,0))</f>
        <v>7</v>
      </c>
      <c r="C37" s="66" t="n">
        <f aca="false">IF(SUM(B78:M78)=0,"none in 12",MATCH(1,B78:M78,0))</f>
        <v>7</v>
      </c>
      <c r="D37" s="66" t="n">
        <f aca="false">IF(SUM(B88:M88)=0,"none in 12",MATCH(1,B88:M88,0))</f>
        <v>9</v>
      </c>
    </row>
    <row r="39" customFormat="false" ht="15" hidden="false" customHeight="false" outlineLevel="0" collapsed="false">
      <c r="A39" s="71" t="s">
        <v>396</v>
      </c>
      <c r="B39" s="71"/>
      <c r="C39" s="71"/>
      <c r="D39" s="71"/>
      <c r="E39" s="71"/>
      <c r="F39" s="71"/>
      <c r="G39" s="71"/>
      <c r="H39" s="71"/>
      <c r="I39" s="71"/>
      <c r="J39" s="71"/>
      <c r="K39" s="71"/>
      <c r="L39" s="71"/>
      <c r="M39" s="71"/>
    </row>
    <row r="40" customFormat="false" ht="25.35" hidden="false" customHeight="false" outlineLevel="0" collapsed="false">
      <c r="A40" s="4" t="s">
        <v>303</v>
      </c>
      <c r="B40" s="4" t="s">
        <v>397</v>
      </c>
      <c r="C40" s="4" t="s">
        <v>398</v>
      </c>
      <c r="D40" s="4" t="s">
        <v>399</v>
      </c>
      <c r="E40" s="4" t="s">
        <v>72</v>
      </c>
    </row>
    <row r="41" customFormat="false" ht="15" hidden="false" customHeight="false" outlineLevel="0" collapsed="false">
      <c r="A41" s="79" t="n">
        <v>10</v>
      </c>
      <c r="B41" s="74" t="n">
        <f aca="false">(Assumptions!$B$25/A41+Assumptions!$B$18+'Unit Economics'!$B$10)/(1-Assumptions!$B$17-Assumptions!$B$19)</f>
        <v>5.03371369294606</v>
      </c>
      <c r="C41" s="74" t="n">
        <f aca="false">((Assumptions!$B$25+$B$18)/A41+Assumptions!$B$18+'Unit Economics'!$B$10)/(1-Assumptions!$B$17-Assumptions!$B$19)</f>
        <v>7.75674273858921</v>
      </c>
      <c r="D41" s="74" t="n">
        <f aca="false">((Assumptions!$B$26+$B$18)/A41+Assumptions!$B$18+'Unit Economics'!$B$10)/(1-Assumptions!$B$17-Assumptions!$B$19)</f>
        <v>10.4538381742739</v>
      </c>
      <c r="E41" s="13" t="s">
        <v>400</v>
      </c>
    </row>
    <row r="42" customFormat="false" ht="15" hidden="false" customHeight="false" outlineLevel="0" collapsed="false">
      <c r="A42" s="79" t="n">
        <v>20</v>
      </c>
      <c r="B42" s="74" t="n">
        <f aca="false">(Assumptions!$B$25/A42+Assumptions!$B$18+'Unit Economics'!$B$10)/(1-Assumptions!$B$17-Assumptions!$B$19)</f>
        <v>2.6996887966805</v>
      </c>
      <c r="C42" s="74" t="n">
        <f aca="false">((Assumptions!$B$25+$B$18)/A42+Assumptions!$B$18+'Unit Economics'!$B$10)/(1-Assumptions!$B$17-Assumptions!$B$19)</f>
        <v>4.06120331950207</v>
      </c>
      <c r="D42" s="74" t="n">
        <f aca="false">((Assumptions!$B$26+$B$18)/A42+Assumptions!$B$18+'Unit Economics'!$B$10)/(1-Assumptions!$B$17-Assumptions!$B$19)</f>
        <v>5.4097510373444</v>
      </c>
    </row>
    <row r="43" customFormat="false" ht="15" hidden="false" customHeight="false" outlineLevel="0" collapsed="false">
      <c r="A43" s="79" t="n">
        <v>30</v>
      </c>
      <c r="B43" s="74" t="n">
        <f aca="false">(Assumptions!$B$25/A43+Assumptions!$B$18+'Unit Economics'!$B$10)/(1-Assumptions!$B$17-Assumptions!$B$19)</f>
        <v>1.92168049792531</v>
      </c>
      <c r="C43" s="74" t="n">
        <f aca="false">((Assumptions!$B$25+$B$18)/A43+Assumptions!$B$18+'Unit Economics'!$B$10)/(1-Assumptions!$B$17-Assumptions!$B$19)</f>
        <v>2.82935684647303</v>
      </c>
      <c r="D43" s="74" t="n">
        <f aca="false">((Assumptions!$B$26+$B$18)/A43+Assumptions!$B$18+'Unit Economics'!$B$10)/(1-Assumptions!$B$17-Assumptions!$B$19)</f>
        <v>3.72838865836791</v>
      </c>
    </row>
    <row r="44" customFormat="false" ht="15" hidden="false" customHeight="false" outlineLevel="0" collapsed="false">
      <c r="A44" s="79" t="n">
        <v>60</v>
      </c>
      <c r="B44" s="74" t="n">
        <f aca="false">(Assumptions!$B$25/A44+Assumptions!$B$18+'Unit Economics'!$B$10)/(1-Assumptions!$B$17-Assumptions!$B$19)</f>
        <v>1.14367219917012</v>
      </c>
      <c r="C44" s="74" t="n">
        <f aca="false">((Assumptions!$B$25+$B$18)/A44+Assumptions!$B$18+'Unit Economics'!$B$10)/(1-Assumptions!$B$17-Assumptions!$B$19)</f>
        <v>1.59751037344398</v>
      </c>
      <c r="D44" s="74" t="n">
        <f aca="false">((Assumptions!$B$26+$B$18)/A44+Assumptions!$B$18+'Unit Economics'!$B$10)/(1-Assumptions!$B$17-Assumptions!$B$19)</f>
        <v>2.04702627939143</v>
      </c>
    </row>
    <row r="46" customFormat="false" ht="15" hidden="false" customHeight="false" outlineLevel="0" collapsed="false">
      <c r="A46" s="71" t="s">
        <v>401</v>
      </c>
      <c r="B46" s="71"/>
      <c r="C46" s="71"/>
      <c r="D46" s="71"/>
      <c r="E46" s="71"/>
      <c r="F46" s="71"/>
      <c r="G46" s="71"/>
      <c r="H46" s="71"/>
      <c r="I46" s="71"/>
      <c r="J46" s="71"/>
      <c r="K46" s="71"/>
      <c r="L46" s="71"/>
      <c r="M46" s="71"/>
    </row>
    <row r="47" customFormat="false" ht="15" hidden="false" customHeight="false" outlineLevel="0" collapsed="false">
      <c r="A47" s="4" t="s">
        <v>12</v>
      </c>
      <c r="B47" s="4" t="s">
        <v>164</v>
      </c>
      <c r="C47" s="4" t="s">
        <v>367</v>
      </c>
      <c r="D47" s="4" t="s">
        <v>367</v>
      </c>
      <c r="E47" s="4" t="s">
        <v>61</v>
      </c>
    </row>
    <row r="48" customFormat="false" ht="15" hidden="false" customHeight="false" outlineLevel="0" collapsed="false">
      <c r="A48" s="13" t="s">
        <v>402</v>
      </c>
      <c r="B48" s="79" t="n">
        <v>30</v>
      </c>
      <c r="E48" s="13" t="s">
        <v>403</v>
      </c>
    </row>
    <row r="49" customFormat="false" ht="15" hidden="false" customHeight="false" outlineLevel="0" collapsed="false">
      <c r="A49" s="13" t="s">
        <v>404</v>
      </c>
      <c r="B49" s="75" t="n">
        <f aca="false">Assumptions!$B$32*$B$48</f>
        <v>300</v>
      </c>
      <c r="C49" s="75" t="n">
        <f aca="false">Assumptions!$B$32*$B$48</f>
        <v>300</v>
      </c>
      <c r="D49" s="75" t="n">
        <f aca="false">Assumptions!$B$32*$B$48</f>
        <v>300</v>
      </c>
      <c r="E49" s="13" t="s">
        <v>405</v>
      </c>
    </row>
    <row r="50" customFormat="false" ht="15" hidden="false" customHeight="false" outlineLevel="0" collapsed="false">
      <c r="A50" s="13" t="s">
        <v>406</v>
      </c>
      <c r="B50" s="80" t="n">
        <f aca="false">(Assumptions!$B$15*Assumptions!$B$22+Assumptions!$B$16*Assumptions!$B$23)/1000000</f>
        <v>0.00525</v>
      </c>
      <c r="C50" s="80" t="n">
        <f aca="false">(Assumptions!$B$15*Assumptions!$B$22+Assumptions!$B$16*Assumptions!$B$23)/1000000</f>
        <v>0.00525</v>
      </c>
      <c r="D50" s="80" t="n">
        <f aca="false">(Assumptions!$B$15*Assumptions!$B$22+Assumptions!$B$16*Assumptions!$B$23)/1000000</f>
        <v>0.00525</v>
      </c>
      <c r="E50" s="13" t="s">
        <v>407</v>
      </c>
    </row>
    <row r="51" customFormat="false" ht="15" hidden="false" customHeight="false" outlineLevel="0" collapsed="false">
      <c r="A51" s="13" t="s">
        <v>408</v>
      </c>
      <c r="B51" s="80" t="n">
        <f aca="false">B50+Assumptions!$B$33*Assumptions!$B$23/1000000</f>
        <v>0.01275</v>
      </c>
      <c r="C51" s="80" t="n">
        <f aca="false">C50+Assumptions!$B$33*Assumptions!$B$23/1000000</f>
        <v>0.01275</v>
      </c>
      <c r="D51" s="80" t="n">
        <f aca="false">D50+Assumptions!$B$33*Assumptions!$B$23/1000000</f>
        <v>0.01275</v>
      </c>
      <c r="E51" s="13" t="s">
        <v>407</v>
      </c>
    </row>
    <row r="52" customFormat="false" ht="15" hidden="false" customHeight="false" outlineLevel="0" collapsed="false">
      <c r="A52" s="13" t="s">
        <v>409</v>
      </c>
      <c r="B52" s="64" t="n">
        <f aca="false">B7-B8-Assumptions!$B$14*B51</f>
        <v>9.2125</v>
      </c>
      <c r="C52" s="64" t="n">
        <f aca="false">C7-C8-Assumptions!$B$14*C51</f>
        <v>6.3205</v>
      </c>
      <c r="D52" s="64" t="n">
        <f aca="false">D7-D8-Assumptions!$B$14*D51</f>
        <v>4.3925</v>
      </c>
      <c r="E52" s="13" t="s">
        <v>129</v>
      </c>
    </row>
    <row r="53" customFormat="false" ht="15" hidden="false" customHeight="false" outlineLevel="0" collapsed="false">
      <c r="A53" s="13" t="s">
        <v>410</v>
      </c>
      <c r="B53" s="64" t="n">
        <f aca="false">B7-B8-B49*B50</f>
        <v>7.765</v>
      </c>
      <c r="C53" s="64" t="n">
        <f aca="false">C7-C8-C49*C50</f>
        <v>4.873</v>
      </c>
      <c r="D53" s="64" t="n">
        <f aca="false">D7-D8-D49*D50</f>
        <v>2.945</v>
      </c>
      <c r="E53" s="13" t="s">
        <v>129</v>
      </c>
    </row>
    <row r="54" customFormat="false" ht="15" hidden="false" customHeight="false" outlineLevel="0" collapsed="false">
      <c r="A54" s="13" t="s">
        <v>411</v>
      </c>
      <c r="B54" s="64" t="n">
        <f aca="false">B7-B8-B49*B51</f>
        <v>5.515</v>
      </c>
      <c r="C54" s="64" t="n">
        <f aca="false">C7-C8-C49*C51</f>
        <v>2.623</v>
      </c>
      <c r="D54" s="64" t="n">
        <f aca="false">D7-D8-D49*D51</f>
        <v>0.694999999999999</v>
      </c>
      <c r="E54" s="13" t="s">
        <v>129</v>
      </c>
    </row>
    <row r="55" customFormat="false" ht="15" hidden="false" customHeight="false" outlineLevel="0" collapsed="false">
      <c r="A55" s="13" t="s">
        <v>412</v>
      </c>
      <c r="B55" s="81" t="n">
        <f aca="false">((B7-B8)/B49-Assumptions!$B$15*Assumptions!$B$22/1000000)/(Assumptions!$B$23/1000000)-Assumptions!$B$16</f>
        <v>3451.11111111111</v>
      </c>
      <c r="C55" s="81" t="n">
        <f aca="false">((C7-C8)/C49-Assumptions!$B$15*Assumptions!$B$22/1000000)/(Assumptions!$B$23/1000000)-Assumptions!$B$16</f>
        <v>2165.77777777778</v>
      </c>
      <c r="D55" s="81" t="n">
        <f aca="false">((D7-D8)/D49-Assumptions!$B$15*Assumptions!$B$22/1000000)/(Assumptions!$B$23/1000000)-Assumptions!$B$16</f>
        <v>1308.88888888889</v>
      </c>
      <c r="E55" s="13" t="s">
        <v>413</v>
      </c>
    </row>
    <row r="58" customFormat="false" ht="15" hidden="false" customHeight="false" outlineLevel="0" collapsed="false">
      <c r="A58" s="71" t="s">
        <v>414</v>
      </c>
      <c r="B58" s="71"/>
      <c r="C58" s="71"/>
      <c r="D58" s="71"/>
      <c r="E58" s="71"/>
      <c r="F58" s="71"/>
      <c r="G58" s="71"/>
      <c r="H58" s="71"/>
      <c r="I58" s="71"/>
      <c r="J58" s="71"/>
      <c r="K58" s="71"/>
      <c r="L58" s="71"/>
      <c r="M58" s="71"/>
    </row>
    <row r="59" customFormat="false" ht="15" hidden="false" customHeight="false" outlineLevel="0" collapsed="false">
      <c r="A59" s="4" t="s">
        <v>301</v>
      </c>
      <c r="B59" s="82" t="n">
        <f aca="false">'Forecast 12M'!B$3</f>
        <v>1</v>
      </c>
      <c r="C59" s="82" t="n">
        <f aca="false">'Forecast 12M'!C$3</f>
        <v>2</v>
      </c>
      <c r="D59" s="82" t="n">
        <f aca="false">'Forecast 12M'!D$3</f>
        <v>3</v>
      </c>
      <c r="E59" s="82" t="n">
        <f aca="false">'Forecast 12M'!E$3</f>
        <v>4</v>
      </c>
      <c r="F59" s="82" t="n">
        <f aca="false">'Forecast 12M'!F$3</f>
        <v>5</v>
      </c>
      <c r="G59" s="82" t="n">
        <f aca="false">'Forecast 12M'!G$3</f>
        <v>6</v>
      </c>
      <c r="H59" s="82" t="n">
        <f aca="false">'Forecast 12M'!H$3</f>
        <v>7</v>
      </c>
      <c r="I59" s="82" t="n">
        <f aca="false">'Forecast 12M'!I$3</f>
        <v>8</v>
      </c>
      <c r="J59" s="82" t="n">
        <f aca="false">'Forecast 12M'!J$3</f>
        <v>9</v>
      </c>
      <c r="K59" s="82" t="n">
        <f aca="false">'Forecast 12M'!K$3</f>
        <v>10</v>
      </c>
      <c r="L59" s="82" t="n">
        <f aca="false">'Forecast 12M'!L$3</f>
        <v>11</v>
      </c>
      <c r="M59" s="82" t="n">
        <f aca="false">'Forecast 12M'!M$3</f>
        <v>12</v>
      </c>
    </row>
    <row r="60" customFormat="false" ht="15" hidden="false" customHeight="false" outlineLevel="0" collapsed="false">
      <c r="A60" s="4" t="str">
        <f aca="false">" Current price "&amp;TEXT(B$7,"$0.00")</f>
        <v> Current price $10.00</v>
      </c>
      <c r="B60" s="4"/>
      <c r="C60" s="4"/>
      <c r="D60" s="4"/>
      <c r="E60" s="4"/>
      <c r="F60" s="4"/>
      <c r="G60" s="4"/>
      <c r="H60" s="4"/>
      <c r="I60" s="4"/>
      <c r="J60" s="4"/>
      <c r="K60" s="4"/>
      <c r="L60" s="4"/>
      <c r="M60" s="4"/>
    </row>
    <row r="61" customFormat="false" ht="15" hidden="false" customHeight="false" outlineLevel="0" collapsed="false">
      <c r="A61" s="13" t="s">
        <v>415</v>
      </c>
      <c r="B61" s="83" t="n">
        <f aca="false">'Forecast 12M'!B$18*($B$7-$B$8)-'Forecast 12M'!B$21-'Forecast 12M'!B$24</f>
        <v>-58.125</v>
      </c>
      <c r="C61" s="83" t="n">
        <f aca="false">'Forecast 12M'!C$18*($B$7-$B$8)-'Forecast 12M'!C$21-'Forecast 12M'!C$24</f>
        <v>35.0125</v>
      </c>
      <c r="D61" s="83" t="n">
        <f aca="false">'Forecast 12M'!D$18*($B$7-$B$8)-'Forecast 12M'!D$21-'Forecast 12M'!D$24</f>
        <v>128.15</v>
      </c>
      <c r="E61" s="83" t="n">
        <f aca="false">'Forecast 12M'!E$18*($B$7-$B$8)-'Forecast 12M'!E$21-'Forecast 12M'!E$24</f>
        <v>221.2875</v>
      </c>
      <c r="F61" s="83" t="n">
        <f aca="false">'Forecast 12M'!F$18*($B$7-$B$8)-'Forecast 12M'!F$21-'Forecast 12M'!F$24</f>
        <v>300.25</v>
      </c>
      <c r="G61" s="83" t="n">
        <f aca="false">'Forecast 12M'!G$18*($B$7-$B$8)-'Forecast 12M'!G$21-'Forecast 12M'!G$24</f>
        <v>393.125</v>
      </c>
      <c r="H61" s="83" t="n">
        <f aca="false">'Forecast 12M'!H$18*($B$7-$B$8)-'Forecast 12M'!H$21-'Forecast 12M'!H$24</f>
        <v>486</v>
      </c>
      <c r="I61" s="83" t="n">
        <f aca="false">'Forecast 12M'!I$18*($B$7-$B$8)-'Forecast 12M'!I$21-'Forecast 12M'!I$24</f>
        <v>486</v>
      </c>
      <c r="J61" s="83" t="n">
        <f aca="false">'Forecast 12M'!J$18*($B$7-$B$8)-'Forecast 12M'!J$21-'Forecast 12M'!J$24</f>
        <v>486</v>
      </c>
      <c r="K61" s="83" t="n">
        <f aca="false">'Forecast 12M'!K$18*($B$7-$B$8)-'Forecast 12M'!K$21-'Forecast 12M'!K$24</f>
        <v>486</v>
      </c>
      <c r="L61" s="83" t="n">
        <f aca="false">'Forecast 12M'!L$18*($B$7-$B$8)-'Forecast 12M'!L$21-'Forecast 12M'!L$24</f>
        <v>486</v>
      </c>
      <c r="M61" s="83" t="n">
        <f aca="false">'Forecast 12M'!M$18*($B$7-$B$8)-'Forecast 12M'!M$21-'Forecast 12M'!M$24</f>
        <v>486</v>
      </c>
    </row>
    <row r="62" customFormat="false" ht="15" hidden="false" customHeight="false" outlineLevel="0" collapsed="false">
      <c r="A62" s="13" t="s">
        <v>416</v>
      </c>
      <c r="B62" s="83" t="n">
        <f aca="false">Assumptions!$B$31+SUM($B61:B61)</f>
        <v>-58.125</v>
      </c>
      <c r="C62" s="83" t="n">
        <f aca="false">Assumptions!$B$31+SUM($B61:C61)</f>
        <v>-23.1125</v>
      </c>
      <c r="D62" s="83" t="n">
        <f aca="false">Assumptions!$B$31+SUM($B61:D61)</f>
        <v>105.0375</v>
      </c>
      <c r="E62" s="83" t="n">
        <f aca="false">Assumptions!$B$31+SUM($B61:E61)</f>
        <v>326.325</v>
      </c>
      <c r="F62" s="83" t="n">
        <f aca="false">Assumptions!$B$31+SUM($B61:F61)</f>
        <v>626.575</v>
      </c>
      <c r="G62" s="83" t="n">
        <f aca="false">Assumptions!$B$31+SUM($B61:G61)</f>
        <v>1019.7</v>
      </c>
      <c r="H62" s="83" t="n">
        <f aca="false">Assumptions!$B$31+SUM($B61:H61)</f>
        <v>1505.7</v>
      </c>
      <c r="I62" s="83" t="n">
        <f aca="false">Assumptions!$B$31+SUM($B61:I61)</f>
        <v>1991.7</v>
      </c>
      <c r="J62" s="83" t="n">
        <f aca="false">Assumptions!$B$31+SUM($B61:J61)</f>
        <v>2477.7</v>
      </c>
      <c r="K62" s="83" t="n">
        <f aca="false">Assumptions!$B$31+SUM($B61:K61)</f>
        <v>2963.7</v>
      </c>
      <c r="L62" s="83" t="n">
        <f aca="false">Assumptions!$B$31+SUM($B61:L61)</f>
        <v>3449.7</v>
      </c>
      <c r="M62" s="83" t="n">
        <f aca="false">Assumptions!$B$31+SUM($B61:M61)</f>
        <v>3935.7</v>
      </c>
    </row>
    <row r="63" customFormat="false" ht="15" hidden="false" customHeight="false" outlineLevel="0" collapsed="false">
      <c r="A63" s="13" t="s">
        <v>417</v>
      </c>
      <c r="B63" s="83" t="n">
        <f aca="false">B61-$B$14*Assumptions!$B$10</f>
        <v>-243.875</v>
      </c>
      <c r="C63" s="83" t="n">
        <f aca="false">C61-$B$14*Assumptions!$B$10</f>
        <v>-150.7375</v>
      </c>
      <c r="D63" s="83" t="n">
        <f aca="false">D61-$B$14*Assumptions!$B$10</f>
        <v>-57.6</v>
      </c>
      <c r="E63" s="83" t="n">
        <f aca="false">E61-$B$14*Assumptions!$B$10</f>
        <v>35.5375</v>
      </c>
      <c r="F63" s="83" t="n">
        <f aca="false">F61-$B$14*Assumptions!$B$10</f>
        <v>114.5</v>
      </c>
      <c r="G63" s="83" t="n">
        <f aca="false">G61-$B$14*Assumptions!$B$10</f>
        <v>207.375</v>
      </c>
      <c r="H63" s="83" t="n">
        <f aca="false">H61-$B$14*Assumptions!$B$10</f>
        <v>300.25</v>
      </c>
      <c r="I63" s="83" t="n">
        <f aca="false">I61-$B$14*Assumptions!$B$10</f>
        <v>300.25</v>
      </c>
      <c r="J63" s="83" t="n">
        <f aca="false">J61-$B$14*Assumptions!$B$10</f>
        <v>300.25</v>
      </c>
      <c r="K63" s="83" t="n">
        <f aca="false">K61-$B$14*Assumptions!$B$10</f>
        <v>300.25</v>
      </c>
      <c r="L63" s="83" t="n">
        <f aca="false">L61-$B$14*Assumptions!$B$10</f>
        <v>300.25</v>
      </c>
      <c r="M63" s="83" t="n">
        <f aca="false">M61-$B$14*Assumptions!$B$10</f>
        <v>300.25</v>
      </c>
    </row>
    <row r="64" customFormat="false" ht="15" hidden="false" customHeight="false" outlineLevel="0" collapsed="false">
      <c r="A64" s="13" t="s">
        <v>418</v>
      </c>
      <c r="B64" s="83" t="n">
        <f aca="false">Assumptions!$B$31+SUM($B63:B63)</f>
        <v>-243.875</v>
      </c>
      <c r="C64" s="83" t="n">
        <f aca="false">Assumptions!$B$31+SUM($B63:C63)</f>
        <v>-394.6125</v>
      </c>
      <c r="D64" s="83" t="n">
        <f aca="false">Assumptions!$B$31+SUM($B63:D63)</f>
        <v>-452.2125</v>
      </c>
      <c r="E64" s="83" t="n">
        <f aca="false">Assumptions!$B$31+SUM($B63:E63)</f>
        <v>-416.675</v>
      </c>
      <c r="F64" s="83" t="n">
        <f aca="false">Assumptions!$B$31+SUM($B63:F63)</f>
        <v>-302.175</v>
      </c>
      <c r="G64" s="83" t="n">
        <f aca="false">Assumptions!$B$31+SUM($B63:G63)</f>
        <v>-94.8000000000001</v>
      </c>
      <c r="H64" s="83" t="n">
        <f aca="false">Assumptions!$B$31+SUM($B63:H63)</f>
        <v>205.45</v>
      </c>
      <c r="I64" s="83" t="n">
        <f aca="false">Assumptions!$B$31+SUM($B63:I63)</f>
        <v>505.7</v>
      </c>
      <c r="J64" s="83" t="n">
        <f aca="false">Assumptions!$B$31+SUM($B63:J63)</f>
        <v>805.95</v>
      </c>
      <c r="K64" s="83" t="n">
        <f aca="false">Assumptions!$B$31+SUM($B63:K63)</f>
        <v>1106.2</v>
      </c>
      <c r="L64" s="83" t="n">
        <f aca="false">Assumptions!$B$31+SUM($B63:L63)</f>
        <v>1406.45</v>
      </c>
      <c r="M64" s="83" t="n">
        <f aca="false">Assumptions!$B$31+SUM($B63:M63)</f>
        <v>1706.7</v>
      </c>
    </row>
    <row r="65" customFormat="false" ht="15" hidden="false" customHeight="false" outlineLevel="0" collapsed="false">
      <c r="A65" s="84" t="s">
        <v>419</v>
      </c>
      <c r="B65" s="85" t="n">
        <f aca="false">IF(B61&gt;0,1,0)</f>
        <v>0</v>
      </c>
      <c r="C65" s="85" t="n">
        <f aca="false">IF(C61&gt;0,1,0)</f>
        <v>1</v>
      </c>
      <c r="D65" s="85" t="n">
        <f aca="false">IF(D61&gt;0,1,0)</f>
        <v>1</v>
      </c>
      <c r="E65" s="85" t="n">
        <f aca="false">IF(E61&gt;0,1,0)</f>
        <v>1</v>
      </c>
      <c r="F65" s="85" t="n">
        <f aca="false">IF(F61&gt;0,1,0)</f>
        <v>1</v>
      </c>
      <c r="G65" s="85" t="n">
        <f aca="false">IF(G61&gt;0,1,0)</f>
        <v>1</v>
      </c>
      <c r="H65" s="85" t="n">
        <f aca="false">IF(H61&gt;0,1,0)</f>
        <v>1</v>
      </c>
      <c r="I65" s="85" t="n">
        <f aca="false">IF(I61&gt;0,1,0)</f>
        <v>1</v>
      </c>
      <c r="J65" s="85" t="n">
        <f aca="false">IF(J61&gt;0,1,0)</f>
        <v>1</v>
      </c>
      <c r="K65" s="85" t="n">
        <f aca="false">IF(K61&gt;0,1,0)</f>
        <v>1</v>
      </c>
      <c r="L65" s="85" t="n">
        <f aca="false">IF(L61&gt;0,1,0)</f>
        <v>1</v>
      </c>
      <c r="M65" s="85" t="n">
        <f aca="false">IF(M61&gt;0,1,0)</f>
        <v>1</v>
      </c>
    </row>
    <row r="66" customFormat="false" ht="15" hidden="false" customHeight="false" outlineLevel="0" collapsed="false">
      <c r="A66" s="84" t="s">
        <v>420</v>
      </c>
      <c r="B66" s="85" t="n">
        <f aca="false">IF(B62&gt;=0,1,0)</f>
        <v>0</v>
      </c>
      <c r="C66" s="85" t="n">
        <f aca="false">IF(C62&gt;=0,1,0)</f>
        <v>0</v>
      </c>
      <c r="D66" s="85" t="n">
        <f aca="false">IF(D62&gt;=0,1,0)</f>
        <v>1</v>
      </c>
      <c r="E66" s="85" t="n">
        <f aca="false">IF(E62&gt;=0,1,0)</f>
        <v>1</v>
      </c>
      <c r="F66" s="85" t="n">
        <f aca="false">IF(F62&gt;=0,1,0)</f>
        <v>1</v>
      </c>
      <c r="G66" s="85" t="n">
        <f aca="false">IF(G62&gt;=0,1,0)</f>
        <v>1</v>
      </c>
      <c r="H66" s="85" t="n">
        <f aca="false">IF(H62&gt;=0,1,0)</f>
        <v>1</v>
      </c>
      <c r="I66" s="85" t="n">
        <f aca="false">IF(I62&gt;=0,1,0)</f>
        <v>1</v>
      </c>
      <c r="J66" s="85" t="n">
        <f aca="false">IF(J62&gt;=0,1,0)</f>
        <v>1</v>
      </c>
      <c r="K66" s="85" t="n">
        <f aca="false">IF(K62&gt;=0,1,0)</f>
        <v>1</v>
      </c>
      <c r="L66" s="85" t="n">
        <f aca="false">IF(L62&gt;=0,1,0)</f>
        <v>1</v>
      </c>
      <c r="M66" s="85" t="n">
        <f aca="false">IF(M62&gt;=0,1,0)</f>
        <v>1</v>
      </c>
    </row>
    <row r="67" customFormat="false" ht="15" hidden="false" customHeight="false" outlineLevel="0" collapsed="false">
      <c r="A67" s="84" t="s">
        <v>421</v>
      </c>
      <c r="B67" s="85" t="n">
        <f aca="false">IF(B63&gt;0,1,0)</f>
        <v>0</v>
      </c>
      <c r="C67" s="85" t="n">
        <f aca="false">IF(C63&gt;0,1,0)</f>
        <v>0</v>
      </c>
      <c r="D67" s="85" t="n">
        <f aca="false">IF(D63&gt;0,1,0)</f>
        <v>0</v>
      </c>
      <c r="E67" s="85" t="n">
        <f aca="false">IF(E63&gt;0,1,0)</f>
        <v>1</v>
      </c>
      <c r="F67" s="85" t="n">
        <f aca="false">IF(F63&gt;0,1,0)</f>
        <v>1</v>
      </c>
      <c r="G67" s="85" t="n">
        <f aca="false">IF(G63&gt;0,1,0)</f>
        <v>1</v>
      </c>
      <c r="H67" s="85" t="n">
        <f aca="false">IF(H63&gt;0,1,0)</f>
        <v>1</v>
      </c>
      <c r="I67" s="85" t="n">
        <f aca="false">IF(I63&gt;0,1,0)</f>
        <v>1</v>
      </c>
      <c r="J67" s="85" t="n">
        <f aca="false">IF(J63&gt;0,1,0)</f>
        <v>1</v>
      </c>
      <c r="K67" s="85" t="n">
        <f aca="false">IF(K63&gt;0,1,0)</f>
        <v>1</v>
      </c>
      <c r="L67" s="85" t="n">
        <f aca="false">IF(L63&gt;0,1,0)</f>
        <v>1</v>
      </c>
      <c r="M67" s="85" t="n">
        <f aca="false">IF(M63&gt;0,1,0)</f>
        <v>1</v>
      </c>
    </row>
    <row r="68" customFormat="false" ht="15" hidden="false" customHeight="false" outlineLevel="0" collapsed="false">
      <c r="A68" s="84" t="s">
        <v>422</v>
      </c>
      <c r="B68" s="85" t="n">
        <f aca="false">IF(B64&gt;=0,1,0)</f>
        <v>0</v>
      </c>
      <c r="C68" s="85" t="n">
        <f aca="false">IF(C64&gt;=0,1,0)</f>
        <v>0</v>
      </c>
      <c r="D68" s="85" t="n">
        <f aca="false">IF(D64&gt;=0,1,0)</f>
        <v>0</v>
      </c>
      <c r="E68" s="85" t="n">
        <f aca="false">IF(E64&gt;=0,1,0)</f>
        <v>0</v>
      </c>
      <c r="F68" s="85" t="n">
        <f aca="false">IF(F64&gt;=0,1,0)</f>
        <v>0</v>
      </c>
      <c r="G68" s="85" t="n">
        <f aca="false">IF(G64&gt;=0,1,0)</f>
        <v>0</v>
      </c>
      <c r="H68" s="85" t="n">
        <f aca="false">IF(H64&gt;=0,1,0)</f>
        <v>1</v>
      </c>
      <c r="I68" s="85" t="n">
        <f aca="false">IF(I64&gt;=0,1,0)</f>
        <v>1</v>
      </c>
      <c r="J68" s="85" t="n">
        <f aca="false">IF(J64&gt;=0,1,0)</f>
        <v>1</v>
      </c>
      <c r="K68" s="85" t="n">
        <f aca="false">IF(K64&gt;=0,1,0)</f>
        <v>1</v>
      </c>
      <c r="L68" s="85" t="n">
        <f aca="false">IF(L64&gt;=0,1,0)</f>
        <v>1</v>
      </c>
      <c r="M68" s="85" t="n">
        <f aca="false">IF(M64&gt;=0,1,0)</f>
        <v>1</v>
      </c>
    </row>
    <row r="70" customFormat="false" ht="15" hidden="false" customHeight="false" outlineLevel="0" collapsed="false">
      <c r="A70" s="4" t="str">
        <f aca="false">" Alternative price "&amp;TEXT(C$7,"$0.00")</f>
        <v> Alternative price $7.00</v>
      </c>
      <c r="B70" s="4"/>
      <c r="C70" s="4"/>
      <c r="D70" s="4"/>
      <c r="E70" s="4"/>
      <c r="F70" s="4"/>
      <c r="G70" s="4"/>
      <c r="H70" s="4"/>
      <c r="I70" s="4"/>
      <c r="J70" s="4"/>
      <c r="K70" s="4"/>
      <c r="L70" s="4"/>
      <c r="M70" s="4"/>
    </row>
    <row r="71" customFormat="false" ht="15" hidden="false" customHeight="false" outlineLevel="0" collapsed="false">
      <c r="A71" s="13" t="s">
        <v>415</v>
      </c>
      <c r="B71" s="83" t="n">
        <f aca="false">'Forecast 12M'!B$18*($C$7-$C$8)-'Forecast 12M'!B$21-'Forecast 12M'!B$24</f>
        <v>-58.125</v>
      </c>
      <c r="C71" s="83" t="n">
        <f aca="false">'Forecast 12M'!C$18*($C$7-$C$8)-'Forecast 12M'!C$21-'Forecast 12M'!C$24</f>
        <v>6.0925</v>
      </c>
      <c r="D71" s="83" t="n">
        <f aca="false">'Forecast 12M'!D$18*($C$7-$C$8)-'Forecast 12M'!D$21-'Forecast 12M'!D$24</f>
        <v>70.31</v>
      </c>
      <c r="E71" s="83" t="n">
        <f aca="false">'Forecast 12M'!E$18*($C$7-$C$8)-'Forecast 12M'!E$21-'Forecast 12M'!E$24</f>
        <v>134.5275</v>
      </c>
      <c r="F71" s="83" t="n">
        <f aca="false">'Forecast 12M'!F$18*($C$7-$C$8)-'Forecast 12M'!F$21-'Forecast 12M'!F$24</f>
        <v>184.57</v>
      </c>
      <c r="G71" s="83" t="n">
        <f aca="false">'Forecast 12M'!G$18*($C$7-$C$8)-'Forecast 12M'!G$21-'Forecast 12M'!G$24</f>
        <v>248.525</v>
      </c>
      <c r="H71" s="83" t="n">
        <f aca="false">'Forecast 12M'!H$18*($C$7-$C$8)-'Forecast 12M'!H$21-'Forecast 12M'!H$24</f>
        <v>312.48</v>
      </c>
      <c r="I71" s="83" t="n">
        <f aca="false">'Forecast 12M'!I$18*($C$7-$C$8)-'Forecast 12M'!I$21-'Forecast 12M'!I$24</f>
        <v>312.48</v>
      </c>
      <c r="J71" s="83" t="n">
        <f aca="false">'Forecast 12M'!J$18*($C$7-$C$8)-'Forecast 12M'!J$21-'Forecast 12M'!J$24</f>
        <v>312.48</v>
      </c>
      <c r="K71" s="83" t="n">
        <f aca="false">'Forecast 12M'!K$18*($C$7-$C$8)-'Forecast 12M'!K$21-'Forecast 12M'!K$24</f>
        <v>312.48</v>
      </c>
      <c r="L71" s="83" t="n">
        <f aca="false">'Forecast 12M'!L$18*($C$7-$C$8)-'Forecast 12M'!L$21-'Forecast 12M'!L$24</f>
        <v>312.48</v>
      </c>
      <c r="M71" s="83" t="n">
        <f aca="false">'Forecast 12M'!M$18*($C$7-$C$8)-'Forecast 12M'!M$21-'Forecast 12M'!M$24</f>
        <v>312.48</v>
      </c>
    </row>
    <row r="72" customFormat="false" ht="15" hidden="false" customHeight="false" outlineLevel="0" collapsed="false">
      <c r="A72" s="13" t="s">
        <v>416</v>
      </c>
      <c r="B72" s="83" t="n">
        <f aca="false">Assumptions!$B$31+SUM($B71:B71)</f>
        <v>-58.125</v>
      </c>
      <c r="C72" s="83" t="n">
        <f aca="false">Assumptions!$B$31+SUM($B71:C71)</f>
        <v>-52.0325</v>
      </c>
      <c r="D72" s="83" t="n">
        <f aca="false">Assumptions!$B$31+SUM($B71:D71)</f>
        <v>18.2775</v>
      </c>
      <c r="E72" s="83" t="n">
        <f aca="false">Assumptions!$B$31+SUM($B71:E71)</f>
        <v>152.805</v>
      </c>
      <c r="F72" s="83" t="n">
        <f aca="false">Assumptions!$B$31+SUM($B71:F71)</f>
        <v>337.375</v>
      </c>
      <c r="G72" s="83" t="n">
        <f aca="false">Assumptions!$B$31+SUM($B71:G71)</f>
        <v>585.9</v>
      </c>
      <c r="H72" s="83" t="n">
        <f aca="false">Assumptions!$B$31+SUM($B71:H71)</f>
        <v>898.38</v>
      </c>
      <c r="I72" s="83" t="n">
        <f aca="false">Assumptions!$B$31+SUM($B71:I71)</f>
        <v>1210.86</v>
      </c>
      <c r="J72" s="83" t="n">
        <f aca="false">Assumptions!$B$31+SUM($B71:J71)</f>
        <v>1523.34</v>
      </c>
      <c r="K72" s="83" t="n">
        <f aca="false">Assumptions!$B$31+SUM($B71:K71)</f>
        <v>1835.82</v>
      </c>
      <c r="L72" s="83" t="n">
        <f aca="false">Assumptions!$B$31+SUM($B71:L71)</f>
        <v>2148.3</v>
      </c>
      <c r="M72" s="83" t="n">
        <f aca="false">Assumptions!$B$31+SUM($B71:M71)</f>
        <v>2460.78</v>
      </c>
    </row>
    <row r="73" customFormat="false" ht="15" hidden="false" customHeight="false" outlineLevel="0" collapsed="false">
      <c r="A73" s="13" t="s">
        <v>417</v>
      </c>
      <c r="B73" s="83" t="n">
        <f aca="false">B71-$C$14*Assumptions!$B$10</f>
        <v>-186.035</v>
      </c>
      <c r="C73" s="83" t="n">
        <f aca="false">C71-$C$14*Assumptions!$B$10</f>
        <v>-121.8175</v>
      </c>
      <c r="D73" s="83" t="n">
        <f aca="false">D71-$C$14*Assumptions!$B$10</f>
        <v>-57.6</v>
      </c>
      <c r="E73" s="83" t="n">
        <f aca="false">E71-$C$14*Assumptions!$B$10</f>
        <v>6.61749999999998</v>
      </c>
      <c r="F73" s="83" t="n">
        <f aca="false">F71-$C$14*Assumptions!$B$10</f>
        <v>56.66</v>
      </c>
      <c r="G73" s="83" t="n">
        <f aca="false">G71-$C$14*Assumptions!$B$10</f>
        <v>120.615</v>
      </c>
      <c r="H73" s="83" t="n">
        <f aca="false">H71-$C$14*Assumptions!$B$10</f>
        <v>184.57</v>
      </c>
      <c r="I73" s="83" t="n">
        <f aca="false">I71-$C$14*Assumptions!$B$10</f>
        <v>184.57</v>
      </c>
      <c r="J73" s="83" t="n">
        <f aca="false">J71-$C$14*Assumptions!$B$10</f>
        <v>184.57</v>
      </c>
      <c r="K73" s="83" t="n">
        <f aca="false">K71-$C$14*Assumptions!$B$10</f>
        <v>184.57</v>
      </c>
      <c r="L73" s="83" t="n">
        <f aca="false">L71-$C$14*Assumptions!$B$10</f>
        <v>184.57</v>
      </c>
      <c r="M73" s="83" t="n">
        <f aca="false">M71-$C$14*Assumptions!$B$10</f>
        <v>184.57</v>
      </c>
    </row>
    <row r="74" customFormat="false" ht="15" hidden="false" customHeight="false" outlineLevel="0" collapsed="false">
      <c r="A74" s="13" t="s">
        <v>418</v>
      </c>
      <c r="B74" s="83" t="n">
        <f aca="false">Assumptions!$B$31+SUM($B73:B73)</f>
        <v>-186.035</v>
      </c>
      <c r="C74" s="83" t="n">
        <f aca="false">Assumptions!$B$31+SUM($B73:C73)</f>
        <v>-307.8525</v>
      </c>
      <c r="D74" s="83" t="n">
        <f aca="false">Assumptions!$B$31+SUM($B73:D73)</f>
        <v>-365.4525</v>
      </c>
      <c r="E74" s="83" t="n">
        <f aca="false">Assumptions!$B$31+SUM($B73:E73)</f>
        <v>-358.835</v>
      </c>
      <c r="F74" s="83" t="n">
        <f aca="false">Assumptions!$B$31+SUM($B73:F73)</f>
        <v>-302.175</v>
      </c>
      <c r="G74" s="83" t="n">
        <f aca="false">Assumptions!$B$31+SUM($B73:G73)</f>
        <v>-181.56</v>
      </c>
      <c r="H74" s="83" t="n">
        <f aca="false">Assumptions!$B$31+SUM($B73:H73)</f>
        <v>3.00999999999991</v>
      </c>
      <c r="I74" s="83" t="n">
        <f aca="false">Assumptions!$B$31+SUM($B73:I73)</f>
        <v>187.58</v>
      </c>
      <c r="J74" s="83" t="n">
        <f aca="false">Assumptions!$B$31+SUM($B73:J73)</f>
        <v>372.15</v>
      </c>
      <c r="K74" s="83" t="n">
        <f aca="false">Assumptions!$B$31+SUM($B73:K73)</f>
        <v>556.72</v>
      </c>
      <c r="L74" s="83" t="n">
        <f aca="false">Assumptions!$B$31+SUM($B73:L73)</f>
        <v>741.29</v>
      </c>
      <c r="M74" s="83" t="n">
        <f aca="false">Assumptions!$B$31+SUM($B73:M73)</f>
        <v>925.86</v>
      </c>
    </row>
    <row r="75" customFormat="false" ht="15" hidden="false" customHeight="false" outlineLevel="0" collapsed="false">
      <c r="A75" s="84" t="s">
        <v>419</v>
      </c>
      <c r="B75" s="85" t="n">
        <f aca="false">IF(B71&gt;0,1,0)</f>
        <v>0</v>
      </c>
      <c r="C75" s="85" t="n">
        <f aca="false">IF(C71&gt;0,1,0)</f>
        <v>1</v>
      </c>
      <c r="D75" s="85" t="n">
        <f aca="false">IF(D71&gt;0,1,0)</f>
        <v>1</v>
      </c>
      <c r="E75" s="85" t="n">
        <f aca="false">IF(E71&gt;0,1,0)</f>
        <v>1</v>
      </c>
      <c r="F75" s="85" t="n">
        <f aca="false">IF(F71&gt;0,1,0)</f>
        <v>1</v>
      </c>
      <c r="G75" s="85" t="n">
        <f aca="false">IF(G71&gt;0,1,0)</f>
        <v>1</v>
      </c>
      <c r="H75" s="85" t="n">
        <f aca="false">IF(H71&gt;0,1,0)</f>
        <v>1</v>
      </c>
      <c r="I75" s="85" t="n">
        <f aca="false">IF(I71&gt;0,1,0)</f>
        <v>1</v>
      </c>
      <c r="J75" s="85" t="n">
        <f aca="false">IF(J71&gt;0,1,0)</f>
        <v>1</v>
      </c>
      <c r="K75" s="85" t="n">
        <f aca="false">IF(K71&gt;0,1,0)</f>
        <v>1</v>
      </c>
      <c r="L75" s="85" t="n">
        <f aca="false">IF(L71&gt;0,1,0)</f>
        <v>1</v>
      </c>
      <c r="M75" s="85" t="n">
        <f aca="false">IF(M71&gt;0,1,0)</f>
        <v>1</v>
      </c>
    </row>
    <row r="76" customFormat="false" ht="15" hidden="false" customHeight="false" outlineLevel="0" collapsed="false">
      <c r="A76" s="84" t="s">
        <v>420</v>
      </c>
      <c r="B76" s="85" t="n">
        <f aca="false">IF(B72&gt;=0,1,0)</f>
        <v>0</v>
      </c>
      <c r="C76" s="85" t="n">
        <f aca="false">IF(C72&gt;=0,1,0)</f>
        <v>0</v>
      </c>
      <c r="D76" s="85" t="n">
        <f aca="false">IF(D72&gt;=0,1,0)</f>
        <v>1</v>
      </c>
      <c r="E76" s="85" t="n">
        <f aca="false">IF(E72&gt;=0,1,0)</f>
        <v>1</v>
      </c>
      <c r="F76" s="85" t="n">
        <f aca="false">IF(F72&gt;=0,1,0)</f>
        <v>1</v>
      </c>
      <c r="G76" s="85" t="n">
        <f aca="false">IF(G72&gt;=0,1,0)</f>
        <v>1</v>
      </c>
      <c r="H76" s="85" t="n">
        <f aca="false">IF(H72&gt;=0,1,0)</f>
        <v>1</v>
      </c>
      <c r="I76" s="85" t="n">
        <f aca="false">IF(I72&gt;=0,1,0)</f>
        <v>1</v>
      </c>
      <c r="J76" s="85" t="n">
        <f aca="false">IF(J72&gt;=0,1,0)</f>
        <v>1</v>
      </c>
      <c r="K76" s="85" t="n">
        <f aca="false">IF(K72&gt;=0,1,0)</f>
        <v>1</v>
      </c>
      <c r="L76" s="85" t="n">
        <f aca="false">IF(L72&gt;=0,1,0)</f>
        <v>1</v>
      </c>
      <c r="M76" s="85" t="n">
        <f aca="false">IF(M72&gt;=0,1,0)</f>
        <v>1</v>
      </c>
    </row>
    <row r="77" customFormat="false" ht="15" hidden="false" customHeight="false" outlineLevel="0" collapsed="false">
      <c r="A77" s="84" t="s">
        <v>421</v>
      </c>
      <c r="B77" s="85" t="n">
        <f aca="false">IF(B73&gt;0,1,0)</f>
        <v>0</v>
      </c>
      <c r="C77" s="85" t="n">
        <f aca="false">IF(C73&gt;0,1,0)</f>
        <v>0</v>
      </c>
      <c r="D77" s="85" t="n">
        <f aca="false">IF(D73&gt;0,1,0)</f>
        <v>0</v>
      </c>
      <c r="E77" s="85" t="n">
        <f aca="false">IF(E73&gt;0,1,0)</f>
        <v>1</v>
      </c>
      <c r="F77" s="85" t="n">
        <f aca="false">IF(F73&gt;0,1,0)</f>
        <v>1</v>
      </c>
      <c r="G77" s="85" t="n">
        <f aca="false">IF(G73&gt;0,1,0)</f>
        <v>1</v>
      </c>
      <c r="H77" s="85" t="n">
        <f aca="false">IF(H73&gt;0,1,0)</f>
        <v>1</v>
      </c>
      <c r="I77" s="85" t="n">
        <f aca="false">IF(I73&gt;0,1,0)</f>
        <v>1</v>
      </c>
      <c r="J77" s="85" t="n">
        <f aca="false">IF(J73&gt;0,1,0)</f>
        <v>1</v>
      </c>
      <c r="K77" s="85" t="n">
        <f aca="false">IF(K73&gt;0,1,0)</f>
        <v>1</v>
      </c>
      <c r="L77" s="85" t="n">
        <f aca="false">IF(L73&gt;0,1,0)</f>
        <v>1</v>
      </c>
      <c r="M77" s="85" t="n">
        <f aca="false">IF(M73&gt;0,1,0)</f>
        <v>1</v>
      </c>
    </row>
    <row r="78" customFormat="false" ht="15" hidden="false" customHeight="false" outlineLevel="0" collapsed="false">
      <c r="A78" s="84" t="s">
        <v>422</v>
      </c>
      <c r="B78" s="85" t="n">
        <f aca="false">IF(B74&gt;=0,1,0)</f>
        <v>0</v>
      </c>
      <c r="C78" s="85" t="n">
        <f aca="false">IF(C74&gt;=0,1,0)</f>
        <v>0</v>
      </c>
      <c r="D78" s="85" t="n">
        <f aca="false">IF(D74&gt;=0,1,0)</f>
        <v>0</v>
      </c>
      <c r="E78" s="85" t="n">
        <f aca="false">IF(E74&gt;=0,1,0)</f>
        <v>0</v>
      </c>
      <c r="F78" s="85" t="n">
        <f aca="false">IF(F74&gt;=0,1,0)</f>
        <v>0</v>
      </c>
      <c r="G78" s="85" t="n">
        <f aca="false">IF(G74&gt;=0,1,0)</f>
        <v>0</v>
      </c>
      <c r="H78" s="85" t="n">
        <f aca="false">IF(H74&gt;=0,1,0)</f>
        <v>1</v>
      </c>
      <c r="I78" s="85" t="n">
        <f aca="false">IF(I74&gt;=0,1,0)</f>
        <v>1</v>
      </c>
      <c r="J78" s="85" t="n">
        <f aca="false">IF(J74&gt;=0,1,0)</f>
        <v>1</v>
      </c>
      <c r="K78" s="85" t="n">
        <f aca="false">IF(K74&gt;=0,1,0)</f>
        <v>1</v>
      </c>
      <c r="L78" s="85" t="n">
        <f aca="false">IF(L74&gt;=0,1,0)</f>
        <v>1</v>
      </c>
      <c r="M78" s="85" t="n">
        <f aca="false">IF(M74&gt;=0,1,0)</f>
        <v>1</v>
      </c>
    </row>
    <row r="80" customFormat="false" ht="15" hidden="false" customHeight="false" outlineLevel="0" collapsed="false">
      <c r="A80" s="4" t="str">
        <f aca="false">" Alternative price "&amp;TEXT(D$7,"$0.00")</f>
        <v> Alternative price $5.00</v>
      </c>
      <c r="B80" s="4"/>
      <c r="C80" s="4"/>
      <c r="D80" s="4"/>
      <c r="E80" s="4"/>
      <c r="F80" s="4"/>
      <c r="G80" s="4"/>
      <c r="H80" s="4"/>
      <c r="I80" s="4"/>
      <c r="J80" s="4"/>
      <c r="K80" s="4"/>
      <c r="L80" s="4"/>
      <c r="M80" s="4"/>
    </row>
    <row r="81" customFormat="false" ht="15" hidden="false" customHeight="false" outlineLevel="0" collapsed="false">
      <c r="A81" s="13" t="s">
        <v>415</v>
      </c>
      <c r="B81" s="83" t="n">
        <f aca="false">'Forecast 12M'!B$18*($D$7-$D$8)-'Forecast 12M'!B$21-'Forecast 12M'!B$24</f>
        <v>-58.125</v>
      </c>
      <c r="C81" s="83" t="n">
        <f aca="false">'Forecast 12M'!C$18*($D$7-$D$8)-'Forecast 12M'!C$21-'Forecast 12M'!C$24</f>
        <v>-13.1875</v>
      </c>
      <c r="D81" s="83" t="n">
        <f aca="false">'Forecast 12M'!D$18*($D$7-$D$8)-'Forecast 12M'!D$21-'Forecast 12M'!D$24</f>
        <v>31.75</v>
      </c>
      <c r="E81" s="83" t="n">
        <f aca="false">'Forecast 12M'!E$18*($D$7-$D$8)-'Forecast 12M'!E$21-'Forecast 12M'!E$24</f>
        <v>76.6875</v>
      </c>
      <c r="F81" s="83" t="n">
        <f aca="false">'Forecast 12M'!F$18*($D$7-$D$8)-'Forecast 12M'!F$21-'Forecast 12M'!F$24</f>
        <v>107.45</v>
      </c>
      <c r="G81" s="83" t="n">
        <f aca="false">'Forecast 12M'!G$18*($D$7-$D$8)-'Forecast 12M'!G$21-'Forecast 12M'!G$24</f>
        <v>152.125</v>
      </c>
      <c r="H81" s="83" t="n">
        <f aca="false">'Forecast 12M'!H$18*($D$7-$D$8)-'Forecast 12M'!H$21-'Forecast 12M'!H$24</f>
        <v>196.8</v>
      </c>
      <c r="I81" s="83" t="n">
        <f aca="false">'Forecast 12M'!I$18*($D$7-$D$8)-'Forecast 12M'!I$21-'Forecast 12M'!I$24</f>
        <v>196.8</v>
      </c>
      <c r="J81" s="83" t="n">
        <f aca="false">'Forecast 12M'!J$18*($D$7-$D$8)-'Forecast 12M'!J$21-'Forecast 12M'!J$24</f>
        <v>196.8</v>
      </c>
      <c r="K81" s="83" t="n">
        <f aca="false">'Forecast 12M'!K$18*($D$7-$D$8)-'Forecast 12M'!K$21-'Forecast 12M'!K$24</f>
        <v>196.8</v>
      </c>
      <c r="L81" s="83" t="n">
        <f aca="false">'Forecast 12M'!L$18*($D$7-$D$8)-'Forecast 12M'!L$21-'Forecast 12M'!L$24</f>
        <v>196.8</v>
      </c>
      <c r="M81" s="83" t="n">
        <f aca="false">'Forecast 12M'!M$18*($D$7-$D$8)-'Forecast 12M'!M$21-'Forecast 12M'!M$24</f>
        <v>196.8</v>
      </c>
    </row>
    <row r="82" customFormat="false" ht="15" hidden="false" customHeight="false" outlineLevel="0" collapsed="false">
      <c r="A82" s="13" t="s">
        <v>416</v>
      </c>
      <c r="B82" s="83" t="n">
        <f aca="false">Assumptions!$B$31+SUM($B81:B81)</f>
        <v>-58.125</v>
      </c>
      <c r="C82" s="83" t="n">
        <f aca="false">Assumptions!$B$31+SUM($B81:C81)</f>
        <v>-71.3125</v>
      </c>
      <c r="D82" s="83" t="n">
        <f aca="false">Assumptions!$B$31+SUM($B81:D81)</f>
        <v>-39.5625</v>
      </c>
      <c r="E82" s="83" t="n">
        <f aca="false">Assumptions!$B$31+SUM($B81:E81)</f>
        <v>37.125</v>
      </c>
      <c r="F82" s="83" t="n">
        <f aca="false">Assumptions!$B$31+SUM($B81:F81)</f>
        <v>144.575</v>
      </c>
      <c r="G82" s="83" t="n">
        <f aca="false">Assumptions!$B$31+SUM($B81:G81)</f>
        <v>296.7</v>
      </c>
      <c r="H82" s="83" t="n">
        <f aca="false">Assumptions!$B$31+SUM($B81:H81)</f>
        <v>493.5</v>
      </c>
      <c r="I82" s="83" t="n">
        <f aca="false">Assumptions!$B$31+SUM($B81:I81)</f>
        <v>690.3</v>
      </c>
      <c r="J82" s="83" t="n">
        <f aca="false">Assumptions!$B$31+SUM($B81:J81)</f>
        <v>887.1</v>
      </c>
      <c r="K82" s="83" t="n">
        <f aca="false">Assumptions!$B$31+SUM($B81:K81)</f>
        <v>1083.9</v>
      </c>
      <c r="L82" s="83" t="n">
        <f aca="false">Assumptions!$B$31+SUM($B81:L81)</f>
        <v>1280.7</v>
      </c>
      <c r="M82" s="83" t="n">
        <f aca="false">Assumptions!$B$31+SUM($B81:M81)</f>
        <v>1477.5</v>
      </c>
    </row>
    <row r="83" customFormat="false" ht="15" hidden="false" customHeight="false" outlineLevel="0" collapsed="false">
      <c r="A83" s="13" t="s">
        <v>417</v>
      </c>
      <c r="B83" s="83" t="n">
        <f aca="false">B81-$D$14*Assumptions!$B$10</f>
        <v>-147.475</v>
      </c>
      <c r="C83" s="83" t="n">
        <f aca="false">C81-$D$14*Assumptions!$B$10</f>
        <v>-102.5375</v>
      </c>
      <c r="D83" s="83" t="n">
        <f aca="false">D81-$D$14*Assumptions!$B$10</f>
        <v>-57.6</v>
      </c>
      <c r="E83" s="83" t="n">
        <f aca="false">E81-$D$14*Assumptions!$B$10</f>
        <v>-12.6625</v>
      </c>
      <c r="F83" s="83" t="n">
        <f aca="false">F81-$D$14*Assumptions!$B$10</f>
        <v>18.1</v>
      </c>
      <c r="G83" s="83" t="n">
        <f aca="false">G81-$D$14*Assumptions!$B$10</f>
        <v>62.775</v>
      </c>
      <c r="H83" s="83" t="n">
        <f aca="false">H81-$D$14*Assumptions!$B$10</f>
        <v>107.45</v>
      </c>
      <c r="I83" s="83" t="n">
        <f aca="false">I81-$D$14*Assumptions!$B$10</f>
        <v>107.45</v>
      </c>
      <c r="J83" s="83" t="n">
        <f aca="false">J81-$D$14*Assumptions!$B$10</f>
        <v>107.45</v>
      </c>
      <c r="K83" s="83" t="n">
        <f aca="false">K81-$D$14*Assumptions!$B$10</f>
        <v>107.45</v>
      </c>
      <c r="L83" s="83" t="n">
        <f aca="false">L81-$D$14*Assumptions!$B$10</f>
        <v>107.45</v>
      </c>
      <c r="M83" s="83" t="n">
        <f aca="false">M81-$D$14*Assumptions!$B$10</f>
        <v>107.45</v>
      </c>
    </row>
    <row r="84" customFormat="false" ht="15" hidden="false" customHeight="false" outlineLevel="0" collapsed="false">
      <c r="A84" s="13" t="s">
        <v>418</v>
      </c>
      <c r="B84" s="83" t="n">
        <f aca="false">Assumptions!$B$31+SUM($B83:B83)</f>
        <v>-147.475</v>
      </c>
      <c r="C84" s="83" t="n">
        <f aca="false">Assumptions!$B$31+SUM($B83:C83)</f>
        <v>-250.0125</v>
      </c>
      <c r="D84" s="83" t="n">
        <f aca="false">Assumptions!$B$31+SUM($B83:D83)</f>
        <v>-307.6125</v>
      </c>
      <c r="E84" s="83" t="n">
        <f aca="false">Assumptions!$B$31+SUM($B83:E83)</f>
        <v>-320.275</v>
      </c>
      <c r="F84" s="83" t="n">
        <f aca="false">Assumptions!$B$31+SUM($B83:F83)</f>
        <v>-302.175</v>
      </c>
      <c r="G84" s="83" t="n">
        <f aca="false">Assumptions!$B$31+SUM($B83:G83)</f>
        <v>-239.4</v>
      </c>
      <c r="H84" s="83" t="n">
        <f aca="false">Assumptions!$B$31+SUM($B83:H83)</f>
        <v>-131.95</v>
      </c>
      <c r="I84" s="83" t="n">
        <f aca="false">Assumptions!$B$31+SUM($B83:I83)</f>
        <v>-24.5</v>
      </c>
      <c r="J84" s="83" t="n">
        <f aca="false">Assumptions!$B$31+SUM($B83:J83)</f>
        <v>82.95</v>
      </c>
      <c r="K84" s="83" t="n">
        <f aca="false">Assumptions!$B$31+SUM($B83:K83)</f>
        <v>190.4</v>
      </c>
      <c r="L84" s="83" t="n">
        <f aca="false">Assumptions!$B$31+SUM($B83:L83)</f>
        <v>297.85</v>
      </c>
      <c r="M84" s="83" t="n">
        <f aca="false">Assumptions!$B$31+SUM($B83:M83)</f>
        <v>405.3</v>
      </c>
    </row>
    <row r="85" customFormat="false" ht="15" hidden="false" customHeight="false" outlineLevel="0" collapsed="false">
      <c r="A85" s="84" t="s">
        <v>419</v>
      </c>
      <c r="B85" s="85" t="n">
        <f aca="false">IF(B81&gt;0,1,0)</f>
        <v>0</v>
      </c>
      <c r="C85" s="85" t="n">
        <f aca="false">IF(C81&gt;0,1,0)</f>
        <v>0</v>
      </c>
      <c r="D85" s="85" t="n">
        <f aca="false">IF(D81&gt;0,1,0)</f>
        <v>1</v>
      </c>
      <c r="E85" s="85" t="n">
        <f aca="false">IF(E81&gt;0,1,0)</f>
        <v>1</v>
      </c>
      <c r="F85" s="85" t="n">
        <f aca="false">IF(F81&gt;0,1,0)</f>
        <v>1</v>
      </c>
      <c r="G85" s="85" t="n">
        <f aca="false">IF(G81&gt;0,1,0)</f>
        <v>1</v>
      </c>
      <c r="H85" s="85" t="n">
        <f aca="false">IF(H81&gt;0,1,0)</f>
        <v>1</v>
      </c>
      <c r="I85" s="85" t="n">
        <f aca="false">IF(I81&gt;0,1,0)</f>
        <v>1</v>
      </c>
      <c r="J85" s="85" t="n">
        <f aca="false">IF(J81&gt;0,1,0)</f>
        <v>1</v>
      </c>
      <c r="K85" s="85" t="n">
        <f aca="false">IF(K81&gt;0,1,0)</f>
        <v>1</v>
      </c>
      <c r="L85" s="85" t="n">
        <f aca="false">IF(L81&gt;0,1,0)</f>
        <v>1</v>
      </c>
      <c r="M85" s="85" t="n">
        <f aca="false">IF(M81&gt;0,1,0)</f>
        <v>1</v>
      </c>
    </row>
    <row r="86" customFormat="false" ht="15" hidden="false" customHeight="false" outlineLevel="0" collapsed="false">
      <c r="A86" s="84" t="s">
        <v>420</v>
      </c>
      <c r="B86" s="85" t="n">
        <f aca="false">IF(B82&gt;=0,1,0)</f>
        <v>0</v>
      </c>
      <c r="C86" s="85" t="n">
        <f aca="false">IF(C82&gt;=0,1,0)</f>
        <v>0</v>
      </c>
      <c r="D86" s="85" t="n">
        <f aca="false">IF(D82&gt;=0,1,0)</f>
        <v>0</v>
      </c>
      <c r="E86" s="85" t="n">
        <f aca="false">IF(E82&gt;=0,1,0)</f>
        <v>1</v>
      </c>
      <c r="F86" s="85" t="n">
        <f aca="false">IF(F82&gt;=0,1,0)</f>
        <v>1</v>
      </c>
      <c r="G86" s="85" t="n">
        <f aca="false">IF(G82&gt;=0,1,0)</f>
        <v>1</v>
      </c>
      <c r="H86" s="85" t="n">
        <f aca="false">IF(H82&gt;=0,1,0)</f>
        <v>1</v>
      </c>
      <c r="I86" s="85" t="n">
        <f aca="false">IF(I82&gt;=0,1,0)</f>
        <v>1</v>
      </c>
      <c r="J86" s="85" t="n">
        <f aca="false">IF(J82&gt;=0,1,0)</f>
        <v>1</v>
      </c>
      <c r="K86" s="85" t="n">
        <f aca="false">IF(K82&gt;=0,1,0)</f>
        <v>1</v>
      </c>
      <c r="L86" s="85" t="n">
        <f aca="false">IF(L82&gt;=0,1,0)</f>
        <v>1</v>
      </c>
      <c r="M86" s="85" t="n">
        <f aca="false">IF(M82&gt;=0,1,0)</f>
        <v>1</v>
      </c>
    </row>
    <row r="87" customFormat="false" ht="15" hidden="false" customHeight="false" outlineLevel="0" collapsed="false">
      <c r="A87" s="84" t="s">
        <v>421</v>
      </c>
      <c r="B87" s="85" t="n">
        <f aca="false">IF(B83&gt;0,1,0)</f>
        <v>0</v>
      </c>
      <c r="C87" s="85" t="n">
        <f aca="false">IF(C83&gt;0,1,0)</f>
        <v>0</v>
      </c>
      <c r="D87" s="85" t="n">
        <f aca="false">IF(D83&gt;0,1,0)</f>
        <v>0</v>
      </c>
      <c r="E87" s="85" t="n">
        <f aca="false">IF(E83&gt;0,1,0)</f>
        <v>0</v>
      </c>
      <c r="F87" s="85" t="n">
        <f aca="false">IF(F83&gt;0,1,0)</f>
        <v>1</v>
      </c>
      <c r="G87" s="85" t="n">
        <f aca="false">IF(G83&gt;0,1,0)</f>
        <v>1</v>
      </c>
      <c r="H87" s="85" t="n">
        <f aca="false">IF(H83&gt;0,1,0)</f>
        <v>1</v>
      </c>
      <c r="I87" s="85" t="n">
        <f aca="false">IF(I83&gt;0,1,0)</f>
        <v>1</v>
      </c>
      <c r="J87" s="85" t="n">
        <f aca="false">IF(J83&gt;0,1,0)</f>
        <v>1</v>
      </c>
      <c r="K87" s="85" t="n">
        <f aca="false">IF(K83&gt;0,1,0)</f>
        <v>1</v>
      </c>
      <c r="L87" s="85" t="n">
        <f aca="false">IF(L83&gt;0,1,0)</f>
        <v>1</v>
      </c>
      <c r="M87" s="85" t="n">
        <f aca="false">IF(M83&gt;0,1,0)</f>
        <v>1</v>
      </c>
    </row>
    <row r="88" customFormat="false" ht="15" hidden="false" customHeight="false" outlineLevel="0" collapsed="false">
      <c r="A88" s="84" t="s">
        <v>422</v>
      </c>
      <c r="B88" s="85" t="n">
        <f aca="false">IF(B84&gt;=0,1,0)</f>
        <v>0</v>
      </c>
      <c r="C88" s="85" t="n">
        <f aca="false">IF(C84&gt;=0,1,0)</f>
        <v>0</v>
      </c>
      <c r="D88" s="85" t="n">
        <f aca="false">IF(D84&gt;=0,1,0)</f>
        <v>0</v>
      </c>
      <c r="E88" s="85" t="n">
        <f aca="false">IF(E84&gt;=0,1,0)</f>
        <v>0</v>
      </c>
      <c r="F88" s="85" t="n">
        <f aca="false">IF(F84&gt;=0,1,0)</f>
        <v>0</v>
      </c>
      <c r="G88" s="85" t="n">
        <f aca="false">IF(G84&gt;=0,1,0)</f>
        <v>0</v>
      </c>
      <c r="H88" s="85" t="n">
        <f aca="false">IF(H84&gt;=0,1,0)</f>
        <v>0</v>
      </c>
      <c r="I88" s="85" t="n">
        <f aca="false">IF(I84&gt;=0,1,0)</f>
        <v>0</v>
      </c>
      <c r="J88" s="85" t="n">
        <f aca="false">IF(J84&gt;=0,1,0)</f>
        <v>1</v>
      </c>
      <c r="K88" s="85" t="n">
        <f aca="false">IF(K84&gt;=0,1,0)</f>
        <v>1</v>
      </c>
      <c r="L88" s="85" t="n">
        <f aca="false">IF(L84&gt;=0,1,0)</f>
        <v>1</v>
      </c>
      <c r="M88" s="85" t="n">
        <f aca="false">IF(M84&gt;=0,1,0)</f>
        <v>1</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7"/>
    <col collapsed="false" customWidth="true" hidden="false" outlineLevel="0" max="6" min="6" style="0" width="13"/>
    <col collapsed="false" customWidth="true" hidden="false" outlineLevel="0" max="7" min="7" style="0" width="45"/>
  </cols>
  <sheetData>
    <row r="1" customFormat="false" ht="33.75" hidden="false" customHeight="true" outlineLevel="0" collapsed="false">
      <c r="A1" s="1" t="s">
        <v>423</v>
      </c>
      <c r="B1" s="1"/>
      <c r="C1" s="1"/>
      <c r="D1" s="1"/>
      <c r="E1" s="1"/>
      <c r="F1" s="1"/>
      <c r="G1" s="1"/>
    </row>
    <row r="2" customFormat="false" ht="31.5" hidden="false" customHeight="true" outlineLevel="0" collapsed="false">
      <c r="A2" s="3" t="s">
        <v>424</v>
      </c>
      <c r="B2" s="3"/>
      <c r="C2" s="3"/>
      <c r="D2" s="3"/>
      <c r="E2" s="3"/>
      <c r="F2" s="3"/>
      <c r="G2" s="3"/>
    </row>
    <row r="3" customFormat="false" ht="31.5" hidden="false" customHeight="true" outlineLevel="0" collapsed="false">
      <c r="A3" s="3"/>
      <c r="B3" s="3"/>
      <c r="C3" s="3"/>
      <c r="D3" s="3"/>
      <c r="E3" s="3"/>
      <c r="F3" s="3"/>
      <c r="G3" s="3"/>
    </row>
    <row r="4" customFormat="false" ht="25.5" hidden="false" customHeight="true" outlineLevel="0" collapsed="false">
      <c r="A4" s="4" t="s">
        <v>425</v>
      </c>
      <c r="B4" s="4" t="s">
        <v>426</v>
      </c>
      <c r="C4" s="4" t="s">
        <v>427</v>
      </c>
      <c r="D4" s="4" t="s">
        <v>428</v>
      </c>
      <c r="E4" s="4" t="s">
        <v>429</v>
      </c>
      <c r="F4" s="4" t="s">
        <v>242</v>
      </c>
      <c r="G4" s="4" t="s">
        <v>430</v>
      </c>
    </row>
    <row r="5" customFormat="false" ht="15" hidden="false" customHeight="false" outlineLevel="0" collapsed="false">
      <c r="A5" s="13" t="s">
        <v>431</v>
      </c>
      <c r="B5" s="86" t="n">
        <f aca="false">Assumptions!B10</f>
        <v>10</v>
      </c>
      <c r="C5" s="86" t="n">
        <f aca="false">Assumptions!B9*Assumptions!B8</f>
        <v>10</v>
      </c>
      <c r="D5" s="86" t="n">
        <f aca="false">B5-C5</f>
        <v>0</v>
      </c>
      <c r="E5" s="86" t="n">
        <v>0.0001</v>
      </c>
      <c r="F5" s="13" t="str">
        <f aca="false">IF(ABS(D5)&lt;=E5,"OK","FAIL")</f>
        <v>OK</v>
      </c>
      <c r="G5" s="13" t="s">
        <v>432</v>
      </c>
    </row>
    <row r="6" customFormat="false" ht="15" hidden="false" customHeight="false" outlineLevel="0" collapsed="false">
      <c r="A6" s="15" t="s">
        <v>433</v>
      </c>
      <c r="B6" s="87" t="n">
        <f aca="false">Assumptions!B25</f>
        <v>45</v>
      </c>
      <c r="C6" s="87" t="n">
        <f aca="false">'Stack Comparison'!C18</f>
        <v>45</v>
      </c>
      <c r="D6" s="87" t="n">
        <f aca="false">B6-C6</f>
        <v>0</v>
      </c>
      <c r="E6" s="87" t="n">
        <v>0.01</v>
      </c>
      <c r="F6" s="15" t="str">
        <f aca="false">IF(ABS(D6)&lt;=E6,"OK","FAIL")</f>
        <v>OK</v>
      </c>
      <c r="G6" s="15" t="s">
        <v>434</v>
      </c>
    </row>
    <row r="7" customFormat="false" ht="15" hidden="false" customHeight="false" outlineLevel="0" collapsed="false">
      <c r="A7" s="15" t="s">
        <v>435</v>
      </c>
      <c r="B7" s="87" t="n">
        <f aca="false">Assumptions!B26</f>
        <v>71</v>
      </c>
      <c r="C7" s="87" t="n">
        <f aca="false">'Stack Comparison'!D18</f>
        <v>71</v>
      </c>
      <c r="D7" s="87" t="n">
        <f aca="false">B7-C7</f>
        <v>0</v>
      </c>
      <c r="E7" s="87" t="n">
        <v>0.01</v>
      </c>
      <c r="F7" s="15" t="str">
        <f aca="false">IF(ABS(D7)&lt;=E7,"OK","FAIL")</f>
        <v>OK</v>
      </c>
      <c r="G7" s="15" t="s">
        <v>436</v>
      </c>
    </row>
    <row r="8" customFormat="false" ht="15" hidden="false" customHeight="false" outlineLevel="0" collapsed="false">
      <c r="A8" s="15" t="s">
        <v>437</v>
      </c>
      <c r="B8" s="87" t="n">
        <f aca="false">'Unit Economics'!B11</f>
        <v>9.2875</v>
      </c>
      <c r="C8" s="87" t="n">
        <f aca="false">Assumptions!B13-'Unit Economics'!B8-'Unit Economics'!B10</f>
        <v>9.2875</v>
      </c>
      <c r="D8" s="87" t="n">
        <f aca="false">B8-C8</f>
        <v>0</v>
      </c>
      <c r="E8" s="87" t="n">
        <v>0.0001</v>
      </c>
      <c r="F8" s="15" t="str">
        <f aca="false">IF(ABS(D8)&lt;=E8,"OK","FAIL")</f>
        <v>OK</v>
      </c>
      <c r="G8" s="15" t="s">
        <v>438</v>
      </c>
    </row>
    <row r="9" customFormat="false" ht="15" hidden="false" customHeight="false" outlineLevel="0" collapsed="false">
      <c r="A9" s="15" t="s">
        <v>439</v>
      </c>
      <c r="B9" s="87" t="n">
        <f aca="false">'Unit Economics'!B15</f>
        <v>55.725</v>
      </c>
      <c r="C9" s="87" t="n">
        <f aca="false">'Unit Economics'!B11*Assumptions!B11</f>
        <v>55.725</v>
      </c>
      <c r="D9" s="87" t="n">
        <f aca="false">B9-C9</f>
        <v>0</v>
      </c>
      <c r="E9" s="87" t="n">
        <v>0.01</v>
      </c>
      <c r="F9" s="15" t="str">
        <f aca="false">IF(ABS(D9)&lt;=E9,"OK","FAIL")</f>
        <v>OK</v>
      </c>
      <c r="G9" s="15" t="s">
        <v>440</v>
      </c>
    </row>
    <row r="10" customFormat="false" ht="15" hidden="false" customHeight="false" outlineLevel="0" collapsed="false">
      <c r="A10" s="15" t="s">
        <v>441</v>
      </c>
      <c r="B10" s="87" t="n">
        <f aca="false">'Unit Economics'!B16</f>
        <v>18.575</v>
      </c>
      <c r="C10" s="87" t="n">
        <f aca="false">'Unit Economics'!B15/3</f>
        <v>18.575</v>
      </c>
      <c r="D10" s="87" t="n">
        <f aca="false">B10-C10</f>
        <v>0</v>
      </c>
      <c r="E10" s="87" t="n">
        <v>0.01</v>
      </c>
      <c r="F10" s="15" t="str">
        <f aca="false">IF(ABS(D10)&lt;=E10,"OK","FAIL")</f>
        <v>OK</v>
      </c>
      <c r="G10" s="15" t="s">
        <v>442</v>
      </c>
    </row>
    <row r="11" customFormat="false" ht="15" hidden="false" customHeight="false" outlineLevel="0" collapsed="false">
      <c r="A11" s="15" t="s">
        <v>443</v>
      </c>
      <c r="B11" s="87" t="n">
        <f aca="false">'Forecast 12M'!H18</f>
        <v>60</v>
      </c>
      <c r="C11" s="87" t="n">
        <f aca="false">Assumptions!B10*Assumptions!B11</f>
        <v>60</v>
      </c>
      <c r="D11" s="87" t="n">
        <f aca="false">B11-C11</f>
        <v>0</v>
      </c>
      <c r="E11" s="87" t="n">
        <v>0</v>
      </c>
      <c r="F11" s="15" t="str">
        <f aca="false">IF(ABS(D11)&lt;=E11,"OK","FAIL")</f>
        <v>OK</v>
      </c>
      <c r="G11" s="15" t="s">
        <v>444</v>
      </c>
    </row>
    <row r="12" customFormat="false" ht="15" hidden="false" customHeight="false" outlineLevel="0" collapsed="false">
      <c r="A12" s="15" t="s">
        <v>445</v>
      </c>
      <c r="B12" s="87" t="n">
        <f aca="false">'Forecast 12M'!B18</f>
        <v>0</v>
      </c>
      <c r="C12" s="87" t="n">
        <v>0</v>
      </c>
      <c r="D12" s="87" t="n">
        <f aca="false">B12-C12</f>
        <v>0</v>
      </c>
      <c r="E12" s="87" t="n">
        <v>0</v>
      </c>
      <c r="F12" s="15" t="str">
        <f aca="false">IF(ABS(D12)&lt;=E12,"OK","FAIL")</f>
        <v>OK</v>
      </c>
      <c r="G12" s="15" t="s">
        <v>446</v>
      </c>
    </row>
    <row r="13" customFormat="false" ht="15" hidden="false" customHeight="false" outlineLevel="0" collapsed="false">
      <c r="A13" s="15" t="s">
        <v>447</v>
      </c>
      <c r="B13" s="87" t="n">
        <f aca="false">'Forecast 12M'!B11</f>
        <v>0.800000000000011</v>
      </c>
      <c r="C13" s="87" t="n">
        <v>0.8</v>
      </c>
      <c r="D13" s="87" t="n">
        <f aca="false">B13-C13</f>
        <v>1.13242748511766E-014</v>
      </c>
      <c r="E13" s="87" t="n">
        <v>0.01</v>
      </c>
      <c r="F13" s="15" t="str">
        <f aca="false">IF(ABS(D13)&lt;=E13,"OK","FAIL")</f>
        <v>OK</v>
      </c>
      <c r="G13" s="15" t="s">
        <v>448</v>
      </c>
    </row>
    <row r="14" customFormat="false" ht="15" hidden="false" customHeight="false" outlineLevel="0" collapsed="false">
      <c r="A14" s="17" t="s">
        <v>449</v>
      </c>
      <c r="B14" s="88" t="n">
        <v>85</v>
      </c>
      <c r="C14" s="88" t="n">
        <f aca="false">'Prior Models'!C13</f>
        <v>56.88</v>
      </c>
      <c r="D14" s="88" t="n">
        <f aca="false">B14-C14</f>
        <v>28.12</v>
      </c>
      <c r="E14" s="88" t="n">
        <v>0.01</v>
      </c>
      <c r="F14" s="17" t="str">
        <f aca="false">IF(ABS(D14)&gt;E14,"OK","FAIL")</f>
        <v>OK</v>
      </c>
      <c r="G14" s="17" t="s">
        <v>450</v>
      </c>
    </row>
    <row r="15" customFormat="false" ht="15" hidden="false" customHeight="false" outlineLevel="0" collapsed="false">
      <c r="A15" s="2" t="s">
        <v>451</v>
      </c>
      <c r="B15" s="89" t="n">
        <f aca="false">Assumptions!E41</f>
        <v>9.2875</v>
      </c>
      <c r="C15" s="90" t="n">
        <f aca="false">'Unit Economics'!B11</f>
        <v>9.2875</v>
      </c>
      <c r="D15" s="89" t="n">
        <f aca="false">B15-C15</f>
        <v>0</v>
      </c>
      <c r="E15" s="2" t="n">
        <v>0.0001</v>
      </c>
      <c r="F15" s="2" t="str">
        <f aca="false">IF(ABS(D15)&lt;=E15,"OK","FAIL")</f>
        <v>OK</v>
      </c>
      <c r="G15" s="2" t="s">
        <v>452</v>
      </c>
    </row>
    <row r="16" customFormat="false" ht="15" hidden="false" customHeight="false" outlineLevel="0" collapsed="false">
      <c r="A16" s="2"/>
      <c r="B16" s="2"/>
      <c r="C16" s="2"/>
      <c r="D16" s="2"/>
      <c r="E16" s="2"/>
      <c r="F16" s="2"/>
      <c r="G16" s="2"/>
    </row>
    <row r="17" customFormat="false" ht="21.75" hidden="false" customHeight="true" outlineLevel="0" collapsed="false">
      <c r="A17" s="12" t="s">
        <v>453</v>
      </c>
      <c r="B17" s="12"/>
      <c r="C17" s="12"/>
      <c r="D17" s="12"/>
      <c r="E17" s="12"/>
      <c r="F17" s="12"/>
      <c r="G17" s="12"/>
    </row>
    <row r="18" customFormat="false" ht="48" hidden="false" customHeight="true" outlineLevel="0" collapsed="false">
      <c r="A18" s="91" t="str">
        <f aca="false">IF(COUNTIF(F5:F15,"FAIL")+COUNTIF(F20:F30,"FAIL")=0,"MODEL STATUS: PASS","MODEL STATUS: FAIL")</f>
        <v>MODEL STATUS: PASS</v>
      </c>
      <c r="B18" s="91"/>
      <c r="C18" s="2"/>
      <c r="D18" s="92" t="s">
        <v>454</v>
      </c>
      <c r="E18" s="92"/>
      <c r="F18" s="92"/>
      <c r="G18" s="92"/>
    </row>
    <row r="19" customFormat="false" ht="48" hidden="false" customHeight="true" outlineLevel="0" collapsed="false">
      <c r="A19" s="91"/>
      <c r="B19" s="91"/>
      <c r="C19" s="2"/>
      <c r="D19" s="92"/>
      <c r="E19" s="92"/>
      <c r="F19" s="92"/>
      <c r="G19" s="92"/>
    </row>
    <row r="20" customFormat="false" ht="15" hidden="false" customHeight="false" outlineLevel="0" collapsed="false">
      <c r="A20" s="2" t="s">
        <v>455</v>
      </c>
      <c r="B20" s="89" t="n">
        <f aca="false">'Stack Comparison'!C26</f>
        <v>0.68625</v>
      </c>
      <c r="C20" s="90" t="n">
        <f aca="false">'Unit Economics'!B8+'Unit Economics'!B9</f>
        <v>0.68625</v>
      </c>
      <c r="D20" s="93" t="n">
        <f aca="false">B20-C20</f>
        <v>0</v>
      </c>
      <c r="E20" s="0" t="n">
        <v>0.0001</v>
      </c>
      <c r="F20" s="0" t="str">
        <f aca="false">IF(ABS(D20)&lt;=E20,"OK","FAIL")</f>
        <v>OK</v>
      </c>
      <c r="G20" s="0" t="s">
        <v>456</v>
      </c>
    </row>
    <row r="21" customFormat="false" ht="15" hidden="false" customHeight="false" outlineLevel="0" collapsed="false">
      <c r="A21" s="0" t="s">
        <v>457</v>
      </c>
      <c r="B21" s="93" t="n">
        <f aca="false">'Stack Comparison'!D26</f>
        <v>0.7125</v>
      </c>
      <c r="C21" s="94" t="n">
        <f aca="false">'Unit Economics'!B8+'Unit Economics'!B10</f>
        <v>0.7125</v>
      </c>
      <c r="D21" s="93" t="n">
        <f aca="false">B21-C21</f>
        <v>0</v>
      </c>
      <c r="E21" s="0" t="n">
        <v>0.0001</v>
      </c>
      <c r="F21" s="0" t="str">
        <f aca="false">IF(ABS(D21)&lt;=E21,"OK","FAIL")</f>
        <v>OK</v>
      </c>
      <c r="G21" s="0" t="s">
        <v>458</v>
      </c>
    </row>
    <row r="22" customFormat="false" ht="15" hidden="false" customHeight="false" outlineLevel="0" collapsed="false">
      <c r="A22" s="0" t="s">
        <v>459</v>
      </c>
      <c r="B22" s="95" t="n">
        <f aca="false">'Forecast 12M'!B21</f>
        <v>13.125</v>
      </c>
      <c r="C22" s="94" t="n">
        <f aca="false">Assumptions!B9*'Unit Economics'!B9</f>
        <v>13.125</v>
      </c>
      <c r="D22" s="94" t="n">
        <f aca="false">B22-C22</f>
        <v>0</v>
      </c>
      <c r="E22" s="0" t="n">
        <v>0.0001</v>
      </c>
      <c r="F22" s="0" t="str">
        <f aca="false">IF(ABS(D22)&lt;=E22,"OK","FAIL")</f>
        <v>OK</v>
      </c>
      <c r="G22" s="0" t="s">
        <v>460</v>
      </c>
    </row>
    <row r="23" customFormat="false" ht="15" hidden="false" customHeight="false" outlineLevel="0" collapsed="false">
      <c r="A23" s="0" t="s">
        <v>461</v>
      </c>
      <c r="B23" s="0" t="n">
        <f aca="false">Assumptions!B7</f>
        <v>12</v>
      </c>
      <c r="C23" s="0" t="n">
        <f aca="false">COLUMNS('Forecast 12M'!B3:M3)</f>
        <v>12</v>
      </c>
      <c r="D23" s="0" t="n">
        <f aca="false">B23-C23</f>
        <v>0</v>
      </c>
      <c r="E23" s="0" t="n">
        <v>0</v>
      </c>
      <c r="F23" s="0" t="str">
        <f aca="false">IF(ABS(D23)&lt;=E23,"OK","FAIL")</f>
        <v>OK</v>
      </c>
      <c r="G23" s="0" t="s">
        <v>462</v>
      </c>
    </row>
    <row r="24" customFormat="false" ht="15" hidden="false" customHeight="false" outlineLevel="0" collapsed="false">
      <c r="A24" s="0" t="s">
        <v>463</v>
      </c>
      <c r="B24" s="0" t="n">
        <f aca="false">SUM('Forecast 12M'!B3:M3)</f>
        <v>78</v>
      </c>
      <c r="C24" s="0" t="n">
        <v>78</v>
      </c>
      <c r="D24" s="0" t="n">
        <f aca="false">B24-C24</f>
        <v>0</v>
      </c>
      <c r="E24" s="0" t="n">
        <v>0</v>
      </c>
      <c r="F24" s="0" t="str">
        <f aca="false">IF(ABS(D24)&lt;=E24,"OK","FAIL")</f>
        <v>OK</v>
      </c>
      <c r="G24" s="0" t="s">
        <v>464</v>
      </c>
    </row>
    <row r="25" customFormat="false" ht="15" hidden="false" customHeight="false" outlineLevel="0" collapsed="false">
      <c r="A25" s="0" t="s">
        <v>465</v>
      </c>
      <c r="B25" s="94" t="n">
        <f aca="false">'Price Sensitivity'!B11</f>
        <v>9.2875</v>
      </c>
      <c r="C25" s="94" t="n">
        <f aca="false">'Unit Economics'!B11</f>
        <v>9.2875</v>
      </c>
      <c r="D25" s="94" t="n">
        <f aca="false">B25-C25</f>
        <v>0</v>
      </c>
      <c r="E25" s="0" t="n">
        <v>0.0001</v>
      </c>
      <c r="F25" s="0" t="str">
        <f aca="false">IF(ABS(D25)&lt;=E25,"OK","FAIL")</f>
        <v>OK</v>
      </c>
      <c r="G25" s="0" t="s">
        <v>466</v>
      </c>
    </row>
    <row r="26" customFormat="false" ht="15" hidden="false" customHeight="false" outlineLevel="0" collapsed="false">
      <c r="A26" s="0" t="s">
        <v>467</v>
      </c>
      <c r="B26" s="96" t="n">
        <f aca="false">'Price Sensitivity'!B19</f>
        <v>5</v>
      </c>
      <c r="C26" s="96" t="n">
        <f aca="false">'Unit Economics'!B13</f>
        <v>5</v>
      </c>
      <c r="D26" s="0" t="n">
        <f aca="false">B26-C26</f>
        <v>0</v>
      </c>
      <c r="E26" s="0" t="n">
        <v>0</v>
      </c>
      <c r="F26" s="0" t="str">
        <f aca="false">IF(ABS(D26)&lt;=E26,"OK","FAIL")</f>
        <v>OK</v>
      </c>
      <c r="G26" s="0" t="s">
        <v>468</v>
      </c>
    </row>
    <row r="27" customFormat="false" ht="15" hidden="false" customHeight="false" outlineLevel="0" collapsed="false">
      <c r="A27" s="0" t="s">
        <v>469</v>
      </c>
      <c r="B27" s="0" t="n">
        <f aca="false">SUMPRODUCT(ABS('Price Sensitivity'!B61:M61-'Forecast 12M'!B26:M26))</f>
        <v>0</v>
      </c>
      <c r="C27" s="0" t="n">
        <v>0</v>
      </c>
      <c r="D27" s="0" t="n">
        <f aca="false">B27-C27</f>
        <v>0</v>
      </c>
      <c r="E27" s="0" t="n">
        <v>0.0001</v>
      </c>
      <c r="F27" s="0" t="str">
        <f aca="false">IF(ABS(D27)&lt;=E27,"OK","FAIL")</f>
        <v>OK</v>
      </c>
      <c r="G27" s="0" t="s">
        <v>470</v>
      </c>
    </row>
    <row r="28" customFormat="false" ht="15" hidden="false" customHeight="false" outlineLevel="0" collapsed="false">
      <c r="A28" s="0" t="s">
        <v>471</v>
      </c>
      <c r="B28" s="0" t="n">
        <f aca="false">SUMPRODUCT(ABS('Price Sensitivity'!B63:M63-'Forecast 12M'!B41:M41))</f>
        <v>0</v>
      </c>
      <c r="C28" s="0" t="n">
        <v>0</v>
      </c>
      <c r="D28" s="0" t="n">
        <f aca="false">B28-C28</f>
        <v>0</v>
      </c>
      <c r="E28" s="0" t="n">
        <v>0.0001</v>
      </c>
      <c r="F28" s="0" t="str">
        <f aca="false">IF(ABS(D28)&lt;=E28,"OK","FAIL")</f>
        <v>OK</v>
      </c>
      <c r="G28" s="0" t="s">
        <v>472</v>
      </c>
    </row>
    <row r="29" customFormat="false" ht="15" hidden="false" customHeight="false" outlineLevel="0" collapsed="false">
      <c r="A29" s="0" t="s">
        <v>473</v>
      </c>
      <c r="B29" s="95" t="n">
        <f aca="false">'Price Sensitivity'!B26</f>
        <v>486</v>
      </c>
      <c r="C29" s="95" t="n">
        <f aca="false">'Forecast 12M'!M26</f>
        <v>486</v>
      </c>
      <c r="D29" s="0" t="n">
        <f aca="false">B29-C29</f>
        <v>0</v>
      </c>
      <c r="E29" s="0" t="n">
        <v>0.0001</v>
      </c>
      <c r="F29" s="0" t="str">
        <f aca="false">IF(ABS(D29)&lt;=E29,"OK","FAIL")</f>
        <v>OK</v>
      </c>
      <c r="G29" s="0" t="s">
        <v>474</v>
      </c>
    </row>
    <row r="30" customFormat="false" ht="15" hidden="false" customHeight="false" outlineLevel="0" collapsed="false">
      <c r="A30" s="0" t="s">
        <v>475</v>
      </c>
      <c r="B30" s="96" t="n">
        <f aca="false">'Price Sensitivity'!B37</f>
        <v>7</v>
      </c>
      <c r="C30" s="0" t="n">
        <f aca="false">MATCH("Yes",'Forecast 12M'!B44:M44,0)</f>
        <v>7</v>
      </c>
      <c r="D30" s="0" t="n">
        <f aca="false">B30-C30</f>
        <v>0</v>
      </c>
      <c r="E30" s="0" t="n">
        <v>0</v>
      </c>
      <c r="F30" s="0" t="str">
        <f aca="false">IF(ABS(D30)&lt;=E30,"OK","FAIL")</f>
        <v>OK</v>
      </c>
      <c r="G30" s="0" t="s">
        <v>476</v>
      </c>
    </row>
  </sheetData>
  <mergeCells count="5">
    <mergeCell ref="A1:G1"/>
    <mergeCell ref="A2:G3"/>
    <mergeCell ref="A17:G17"/>
    <mergeCell ref="A18:B19"/>
    <mergeCell ref="D18:G1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3"/>
    <col collapsed="false" customWidth="true" hidden="false" outlineLevel="0" max="2" min="2" style="0" width="17"/>
    <col collapsed="false" customWidth="true" hidden="false" outlineLevel="0" max="3" min="3" style="0" width="22"/>
    <col collapsed="false" customWidth="true" hidden="false" outlineLevel="0" max="4" min="4" style="0" width="15"/>
    <col collapsed="false" customWidth="true" hidden="false" outlineLevel="0" max="5" min="5" style="0" width="23"/>
    <col collapsed="false" customWidth="true" hidden="false" outlineLevel="0" max="6" min="6" style="0" width="18"/>
    <col collapsed="false" customWidth="true" hidden="false" outlineLevel="0" max="7" min="7" style="0" width="68"/>
    <col collapsed="false" customWidth="true" hidden="false" outlineLevel="0" max="8" min="8" style="0" width="48"/>
  </cols>
  <sheetData>
    <row r="1" customFormat="false" ht="33.75" hidden="false" customHeight="true" outlineLevel="0" collapsed="false">
      <c r="A1" s="1" t="s">
        <v>477</v>
      </c>
      <c r="B1" s="1"/>
      <c r="C1" s="1"/>
      <c r="D1" s="1"/>
      <c r="E1" s="1"/>
      <c r="F1" s="1"/>
      <c r="G1" s="1"/>
      <c r="H1" s="1"/>
    </row>
    <row r="2" customFormat="false" ht="31.5" hidden="false" customHeight="true" outlineLevel="0" collapsed="false">
      <c r="A2" s="3" t="s">
        <v>478</v>
      </c>
      <c r="B2" s="3"/>
      <c r="C2" s="3"/>
      <c r="D2" s="3"/>
      <c r="E2" s="3"/>
      <c r="F2" s="3"/>
      <c r="G2" s="3"/>
      <c r="H2" s="3"/>
    </row>
    <row r="3" customFormat="false" ht="31.5" hidden="false" customHeight="true" outlineLevel="0" collapsed="false">
      <c r="A3" s="3"/>
      <c r="B3" s="3"/>
      <c r="C3" s="3"/>
      <c r="D3" s="3"/>
      <c r="E3" s="3"/>
      <c r="F3" s="3"/>
      <c r="G3" s="3"/>
      <c r="H3" s="3"/>
    </row>
    <row r="4" customFormat="false" ht="25.5" hidden="false" customHeight="true" outlineLevel="0" collapsed="false">
      <c r="A4" s="4" t="s">
        <v>479</v>
      </c>
      <c r="B4" s="4" t="s">
        <v>480</v>
      </c>
      <c r="C4" s="4" t="s">
        <v>61</v>
      </c>
      <c r="D4" s="4" t="s">
        <v>481</v>
      </c>
      <c r="E4" s="4" t="s">
        <v>482</v>
      </c>
      <c r="F4" s="4" t="s">
        <v>107</v>
      </c>
      <c r="G4" s="4" t="s">
        <v>483</v>
      </c>
      <c r="H4" s="4" t="s">
        <v>165</v>
      </c>
    </row>
    <row r="5" customFormat="false" ht="15" hidden="false" customHeight="false" outlineLevel="0" collapsed="false">
      <c r="A5" s="13" t="s">
        <v>484</v>
      </c>
      <c r="B5" s="86" t="n">
        <v>25</v>
      </c>
      <c r="C5" s="13" t="s">
        <v>485</v>
      </c>
      <c r="D5" s="13" t="s">
        <v>486</v>
      </c>
      <c r="E5" s="13" t="s">
        <v>487</v>
      </c>
      <c r="F5" s="13" t="s">
        <v>183</v>
      </c>
      <c r="G5" s="13" t="s">
        <v>186</v>
      </c>
      <c r="H5" s="13" t="s">
        <v>488</v>
      </c>
    </row>
    <row r="6" customFormat="false" ht="15" hidden="false" customHeight="false" outlineLevel="0" collapsed="false">
      <c r="A6" s="15" t="s">
        <v>489</v>
      </c>
      <c r="B6" s="87" t="n">
        <v>20</v>
      </c>
      <c r="C6" s="15" t="s">
        <v>485</v>
      </c>
      <c r="D6" s="15" t="s">
        <v>486</v>
      </c>
      <c r="E6" s="15" t="s">
        <v>487</v>
      </c>
      <c r="F6" s="15" t="s">
        <v>188</v>
      </c>
      <c r="G6" s="15" t="s">
        <v>490</v>
      </c>
      <c r="H6" s="15" t="s">
        <v>491</v>
      </c>
    </row>
    <row r="7" customFormat="false" ht="15" hidden="false" customHeight="false" outlineLevel="0" collapsed="false">
      <c r="A7" s="15" t="s">
        <v>492</v>
      </c>
      <c r="B7" s="87" t="n">
        <v>0.029</v>
      </c>
      <c r="C7" s="15" t="s">
        <v>493</v>
      </c>
      <c r="D7" s="15" t="s">
        <v>486</v>
      </c>
      <c r="E7" s="15" t="s">
        <v>487</v>
      </c>
      <c r="F7" s="15" t="s">
        <v>218</v>
      </c>
      <c r="G7" s="15" t="s">
        <v>494</v>
      </c>
      <c r="H7" s="15" t="s">
        <v>495</v>
      </c>
    </row>
    <row r="8" customFormat="false" ht="15" hidden="false" customHeight="false" outlineLevel="0" collapsed="false">
      <c r="A8" s="15" t="s">
        <v>496</v>
      </c>
      <c r="B8" s="87" t="n">
        <v>0.007</v>
      </c>
      <c r="C8" s="15" t="s">
        <v>497</v>
      </c>
      <c r="D8" s="15" t="s">
        <v>486</v>
      </c>
      <c r="E8" s="15" t="s">
        <v>487</v>
      </c>
      <c r="F8" s="15" t="s">
        <v>218</v>
      </c>
      <c r="G8" s="15" t="s">
        <v>498</v>
      </c>
      <c r="H8" s="15" t="s">
        <v>499</v>
      </c>
    </row>
    <row r="9" customFormat="false" ht="15" hidden="false" customHeight="false" outlineLevel="0" collapsed="false">
      <c r="A9" s="15" t="s">
        <v>198</v>
      </c>
      <c r="B9" s="87" t="n">
        <v>0</v>
      </c>
      <c r="C9" s="15" t="s">
        <v>500</v>
      </c>
      <c r="D9" s="15" t="s">
        <v>486</v>
      </c>
      <c r="E9" s="15" t="s">
        <v>487</v>
      </c>
      <c r="F9" s="15" t="s">
        <v>198</v>
      </c>
      <c r="G9" s="15" t="s">
        <v>201</v>
      </c>
      <c r="H9" s="15" t="s">
        <v>501</v>
      </c>
    </row>
    <row r="10" customFormat="false" ht="15" hidden="false" customHeight="false" outlineLevel="0" collapsed="false">
      <c r="A10" s="15" t="s">
        <v>502</v>
      </c>
      <c r="B10" s="87" t="n">
        <v>0</v>
      </c>
      <c r="C10" s="15" t="s">
        <v>485</v>
      </c>
      <c r="D10" s="15" t="s">
        <v>486</v>
      </c>
      <c r="E10" s="15" t="s">
        <v>487</v>
      </c>
      <c r="F10" s="15" t="s">
        <v>192</v>
      </c>
      <c r="G10" s="15" t="s">
        <v>194</v>
      </c>
      <c r="H10" s="15" t="s">
        <v>503</v>
      </c>
    </row>
    <row r="11" customFormat="false" ht="15" hidden="false" customHeight="false" outlineLevel="0" collapsed="false">
      <c r="A11" s="15" t="s">
        <v>504</v>
      </c>
      <c r="B11" s="87" t="n">
        <v>26</v>
      </c>
      <c r="C11" s="15" t="s">
        <v>485</v>
      </c>
      <c r="D11" s="15" t="s">
        <v>486</v>
      </c>
      <c r="E11" s="15" t="s">
        <v>487</v>
      </c>
      <c r="F11" s="15" t="s">
        <v>192</v>
      </c>
      <c r="G11" s="15" t="s">
        <v>194</v>
      </c>
      <c r="H11" s="15" t="s">
        <v>505</v>
      </c>
    </row>
    <row r="12" customFormat="false" ht="15" hidden="false" customHeight="false" outlineLevel="0" collapsed="false">
      <c r="A12" s="15" t="s">
        <v>506</v>
      </c>
      <c r="B12" s="87" t="n">
        <v>0</v>
      </c>
      <c r="C12" s="15" t="s">
        <v>485</v>
      </c>
      <c r="D12" s="15" t="s">
        <v>486</v>
      </c>
      <c r="E12" s="15" t="s">
        <v>507</v>
      </c>
      <c r="F12" s="15" t="s">
        <v>508</v>
      </c>
      <c r="G12" s="15" t="s">
        <v>509</v>
      </c>
      <c r="H12" s="15" t="s">
        <v>510</v>
      </c>
    </row>
    <row r="13" customFormat="false" ht="15" hidden="false" customHeight="false" outlineLevel="0" collapsed="false">
      <c r="A13" s="15" t="s">
        <v>511</v>
      </c>
      <c r="B13" s="87" t="n">
        <v>20</v>
      </c>
      <c r="C13" s="15" t="s">
        <v>485</v>
      </c>
      <c r="D13" s="15" t="s">
        <v>512</v>
      </c>
      <c r="E13" s="15" t="s">
        <v>487</v>
      </c>
      <c r="F13" s="15" t="s">
        <v>513</v>
      </c>
      <c r="G13" s="15" t="s">
        <v>197</v>
      </c>
      <c r="H13" s="15" t="s">
        <v>514</v>
      </c>
    </row>
    <row r="14" customFormat="false" ht="15" hidden="false" customHeight="false" outlineLevel="0" collapsed="false">
      <c r="A14" s="15" t="s">
        <v>515</v>
      </c>
      <c r="B14" s="87" t="n">
        <v>0</v>
      </c>
      <c r="C14" s="15" t="s">
        <v>516</v>
      </c>
      <c r="D14" s="15" t="s">
        <v>512</v>
      </c>
      <c r="E14" s="15" t="s">
        <v>517</v>
      </c>
      <c r="F14" s="15" t="s">
        <v>518</v>
      </c>
      <c r="G14" s="15" t="s">
        <v>519</v>
      </c>
      <c r="H14" s="15" t="s">
        <v>520</v>
      </c>
    </row>
    <row r="15" customFormat="false" ht="15" hidden="false" customHeight="false" outlineLevel="0" collapsed="false">
      <c r="A15" s="15" t="s">
        <v>521</v>
      </c>
      <c r="B15" s="87" t="n">
        <v>7</v>
      </c>
      <c r="C15" s="15" t="s">
        <v>522</v>
      </c>
      <c r="D15" s="15" t="s">
        <v>512</v>
      </c>
      <c r="E15" s="15" t="s">
        <v>487</v>
      </c>
      <c r="F15" s="15" t="s">
        <v>523</v>
      </c>
      <c r="G15" s="15" t="s">
        <v>524</v>
      </c>
      <c r="H15" s="15" t="s">
        <v>525</v>
      </c>
    </row>
    <row r="16" customFormat="false" ht="15" hidden="false" customHeight="false" outlineLevel="0" collapsed="false">
      <c r="A16" s="15" t="s">
        <v>526</v>
      </c>
      <c r="B16" s="87" t="n">
        <v>0.15</v>
      </c>
      <c r="C16" s="15" t="s">
        <v>527</v>
      </c>
      <c r="D16" s="15" t="s">
        <v>512</v>
      </c>
      <c r="E16" s="15" t="s">
        <v>487</v>
      </c>
      <c r="F16" s="15" t="s">
        <v>205</v>
      </c>
      <c r="G16" s="15" t="s">
        <v>207</v>
      </c>
      <c r="H16" s="15" t="s">
        <v>528</v>
      </c>
    </row>
    <row r="17" customFormat="false" ht="15" hidden="false" customHeight="false" outlineLevel="0" collapsed="false">
      <c r="A17" s="15" t="s">
        <v>249</v>
      </c>
      <c r="B17" s="87" t="n">
        <v>0.5</v>
      </c>
      <c r="C17" s="15" t="s">
        <v>529</v>
      </c>
      <c r="D17" s="15" t="s">
        <v>512</v>
      </c>
      <c r="E17" s="15" t="s">
        <v>487</v>
      </c>
      <c r="F17" s="15" t="s">
        <v>530</v>
      </c>
      <c r="G17" s="15" t="s">
        <v>217</v>
      </c>
      <c r="H17" s="15" t="s">
        <v>531</v>
      </c>
    </row>
    <row r="18" customFormat="false" ht="15" hidden="false" customHeight="false" outlineLevel="0" collapsed="false">
      <c r="A18" s="15" t="s">
        <v>532</v>
      </c>
      <c r="B18" s="87" t="n">
        <v>0.75</v>
      </c>
      <c r="C18" s="15" t="s">
        <v>533</v>
      </c>
      <c r="D18" s="15" t="s">
        <v>486</v>
      </c>
      <c r="E18" s="15" t="s">
        <v>487</v>
      </c>
      <c r="F18" s="15" t="s">
        <v>530</v>
      </c>
      <c r="G18" s="15" t="s">
        <v>217</v>
      </c>
      <c r="H18" s="15" t="s">
        <v>534</v>
      </c>
    </row>
    <row r="19" customFormat="false" ht="15" hidden="false" customHeight="false" outlineLevel="0" collapsed="false">
      <c r="A19" s="15" t="s">
        <v>260</v>
      </c>
      <c r="B19" s="87" t="n">
        <v>0.3</v>
      </c>
      <c r="C19" s="15" t="s">
        <v>529</v>
      </c>
      <c r="D19" s="15" t="s">
        <v>486</v>
      </c>
      <c r="E19" s="15" t="s">
        <v>487</v>
      </c>
      <c r="F19" s="15" t="s">
        <v>530</v>
      </c>
      <c r="G19" s="15" t="s">
        <v>217</v>
      </c>
      <c r="H19" s="15" t="s">
        <v>535</v>
      </c>
    </row>
    <row r="20" customFormat="false" ht="15" hidden="false" customHeight="false" outlineLevel="0" collapsed="false">
      <c r="A20" s="15" t="s">
        <v>536</v>
      </c>
      <c r="B20" s="87"/>
      <c r="C20" s="15" t="s">
        <v>210</v>
      </c>
      <c r="D20" s="15" t="s">
        <v>512</v>
      </c>
      <c r="E20" s="15" t="s">
        <v>537</v>
      </c>
      <c r="F20" s="15" t="s">
        <v>530</v>
      </c>
      <c r="G20" s="15" t="s">
        <v>538</v>
      </c>
      <c r="H20" s="15" t="s">
        <v>539</v>
      </c>
    </row>
    <row r="21" customFormat="false" ht="15" hidden="false" customHeight="false" outlineLevel="0" collapsed="false">
      <c r="A21" s="15" t="s">
        <v>540</v>
      </c>
      <c r="B21" s="87" t="n">
        <v>10</v>
      </c>
      <c r="C21" s="15" t="s">
        <v>541</v>
      </c>
      <c r="D21" s="15" t="s">
        <v>486</v>
      </c>
      <c r="E21" s="15" t="s">
        <v>542</v>
      </c>
      <c r="F21" s="15" t="s">
        <v>543</v>
      </c>
      <c r="G21" s="15" t="s">
        <v>544</v>
      </c>
      <c r="H21" s="15" t="s">
        <v>545</v>
      </c>
    </row>
    <row r="22" customFormat="false" ht="15" hidden="false" customHeight="false" outlineLevel="0" collapsed="false">
      <c r="A22" s="15" t="s">
        <v>546</v>
      </c>
      <c r="B22" s="87"/>
      <c r="C22" s="15" t="s">
        <v>547</v>
      </c>
      <c r="D22" s="15" t="s">
        <v>486</v>
      </c>
      <c r="E22" s="15" t="s">
        <v>548</v>
      </c>
      <c r="F22" s="15" t="s">
        <v>543</v>
      </c>
      <c r="G22" s="15" t="s">
        <v>549</v>
      </c>
      <c r="H22" s="15" t="s">
        <v>550</v>
      </c>
    </row>
    <row r="23" customFormat="false" ht="15" hidden="false" customHeight="false" outlineLevel="0" collapsed="false">
      <c r="A23" s="15" t="s">
        <v>551</v>
      </c>
      <c r="B23" s="87" t="n">
        <v>80.55</v>
      </c>
      <c r="C23" s="15" t="s">
        <v>552</v>
      </c>
      <c r="D23" s="15" t="s">
        <v>486</v>
      </c>
      <c r="E23" s="15" t="s">
        <v>553</v>
      </c>
      <c r="F23" s="15" t="s">
        <v>543</v>
      </c>
      <c r="G23" s="15" t="s">
        <v>554</v>
      </c>
      <c r="H23" s="15" t="s">
        <v>555</v>
      </c>
    </row>
    <row r="24" customFormat="false" ht="15" hidden="false" customHeight="false" outlineLevel="0" collapsed="false">
      <c r="A24" s="15" t="s">
        <v>556</v>
      </c>
      <c r="B24" s="87"/>
      <c r="C24" s="15" t="s">
        <v>557</v>
      </c>
      <c r="D24" s="15" t="s">
        <v>558</v>
      </c>
      <c r="E24" s="15" t="s">
        <v>559</v>
      </c>
      <c r="F24" s="15" t="s">
        <v>543</v>
      </c>
      <c r="G24" s="15" t="s">
        <v>560</v>
      </c>
      <c r="H24" s="15" t="s">
        <v>561</v>
      </c>
    </row>
    <row r="25" customFormat="false" ht="15" hidden="false" customHeight="false" outlineLevel="0" collapsed="false">
      <c r="A25" s="17" t="s">
        <v>562</v>
      </c>
      <c r="B25" s="88"/>
      <c r="C25" s="17" t="s">
        <v>557</v>
      </c>
      <c r="D25" s="17" t="s">
        <v>558</v>
      </c>
      <c r="E25" s="17" t="s">
        <v>559</v>
      </c>
      <c r="F25" s="17" t="s">
        <v>543</v>
      </c>
      <c r="G25" s="17" t="s">
        <v>563</v>
      </c>
      <c r="H25" s="17" t="s">
        <v>564</v>
      </c>
    </row>
    <row r="26" customFormat="false" ht="15" hidden="false" customHeight="false" outlineLevel="0" collapsed="false">
      <c r="A26" s="17" t="s">
        <v>565</v>
      </c>
      <c r="B26" s="88" t="n">
        <v>0.75</v>
      </c>
      <c r="C26" s="17" t="s">
        <v>533</v>
      </c>
      <c r="D26" s="17" t="s">
        <v>486</v>
      </c>
      <c r="E26" s="17" t="s">
        <v>487</v>
      </c>
      <c r="F26" s="17" t="s">
        <v>530</v>
      </c>
      <c r="G26" s="17" t="s">
        <v>217</v>
      </c>
      <c r="H26" s="17" t="s">
        <v>566</v>
      </c>
    </row>
    <row r="27" customFormat="false" ht="15" hidden="false" customHeight="false" outlineLevel="0" collapsed="false">
      <c r="A27" s="17" t="s">
        <v>567</v>
      </c>
      <c r="B27" s="88" t="s">
        <v>568</v>
      </c>
      <c r="C27" s="17" t="s">
        <v>569</v>
      </c>
      <c r="D27" s="17" t="s">
        <v>486</v>
      </c>
      <c r="E27" s="17" t="s">
        <v>537</v>
      </c>
      <c r="F27" s="17" t="s">
        <v>530</v>
      </c>
      <c r="G27" s="17" t="s">
        <v>570</v>
      </c>
      <c r="H27" s="17" t="s">
        <v>571</v>
      </c>
    </row>
    <row r="28" customFormat="false" ht="15" hidden="false" customHeight="false" outlineLevel="0" collapsed="false">
      <c r="A28" s="17" t="s">
        <v>572</v>
      </c>
      <c r="B28" s="88" t="n">
        <v>10</v>
      </c>
      <c r="C28" s="17" t="s">
        <v>573</v>
      </c>
      <c r="D28" s="17" t="s">
        <v>486</v>
      </c>
      <c r="E28" s="17" t="s">
        <v>548</v>
      </c>
      <c r="F28" s="17" t="s">
        <v>543</v>
      </c>
      <c r="G28" s="17" t="s">
        <v>549</v>
      </c>
      <c r="H28" s="17" t="s">
        <v>574</v>
      </c>
    </row>
    <row r="29" customFormat="false" ht="15" hidden="false" customHeight="false" outlineLevel="0" collapsed="false">
      <c r="A29" s="17" t="s">
        <v>575</v>
      </c>
      <c r="B29" s="88" t="s">
        <v>576</v>
      </c>
      <c r="C29" s="17" t="s">
        <v>210</v>
      </c>
      <c r="D29" s="17" t="s">
        <v>486</v>
      </c>
      <c r="E29" s="17" t="s">
        <v>577</v>
      </c>
      <c r="F29" s="17" t="s">
        <v>543</v>
      </c>
      <c r="G29" s="17" t="s">
        <v>578</v>
      </c>
      <c r="H29" s="17" t="s">
        <v>579</v>
      </c>
    </row>
  </sheetData>
  <mergeCells count="2">
    <mergeCell ref="A1:H1"/>
    <mergeCell ref="A2:H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2026-10-12T19:32:01Z</dcterms:created>
  <dc:creator>openpyxl</dc:creator>
  <dc:description/>
  <dc:language>en-US</dc:language>
  <cp:lastModifiedBy/>
  <dcterms:modified xsi:type="dcterms:W3CDTF">2026-10-12T15:32:03Z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