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7053f5823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2df55e24c64533"/>
    <x:sheet xmlns:r="http://schemas.openxmlformats.org/officeDocument/2006/relationships" name="Assumptions" sheetId="2" r:id="Rac304b7c2b3f4d92"/>
    <x:sheet xmlns:r="http://schemas.openxmlformats.org/officeDocument/2006/relationships" name="Stack Comparison" sheetId="3" r:id="R090b754b61514659"/>
    <x:sheet xmlns:r="http://schemas.openxmlformats.org/officeDocument/2006/relationships" name="Gemini Options" sheetId="4" r:id="R8395bc34b0584987"/>
    <x:sheet xmlns:r="http://schemas.openxmlformats.org/officeDocument/2006/relationships" name="Prior Models" sheetId="5" r:id="Rbd22be7ec68e4361"/>
    <x:sheet xmlns:r="http://schemas.openxmlformats.org/officeDocument/2006/relationships" name="Forecast 12M" sheetId="6" r:id="R7f3e5b6f689647da"/>
    <x:sheet xmlns:r="http://schemas.openxmlformats.org/officeDocument/2006/relationships" name="Unit Economics" sheetId="7" r:id="R87c2de35bfa74f2e"/>
    <x:sheet xmlns:r="http://schemas.openxmlformats.org/officeDocument/2006/relationships" name="Checks" sheetId="8" r:id="Re68ec17416d84ed7"/>
    <x:sheet xmlns:r="http://schemas.openxmlformats.org/officeDocument/2006/relationships" name="Sources" sheetId="9" r:id="R66c9e98c8fdd4994"/>
  </x:sheets>
</x:workbook>
</file>

<file path=xl/comments1.xml><?xml version="1.0" encoding="utf-8"?>
<x:comments xmlns:x="http://schemas.openxmlformats.org/spreadsheetml/2006/main">
  <x:authors>
    <x:author>tc={16D79DC5-FCF1-458B-9B11-8C8685E8A2A8}</x:author>
    <x:author>tc={164D43C6-1C44-41A7-80C8-018AF775FA03}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preserved from every prior model: 2% of new trial users become paid users.</x:t>
        </x:r>
      </x:text>
    </x:comment>
    <x:comment ref="B3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CAC ceiling uses a 3:1 contribution-LTV-to-CAC ratio and the higher published 2027 Gemini 3.6 Flash price.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mmm yyyy"/>
    <x:numFmt numFmtId="201" formatCode="yyyy-mm-dd"/>
    <x:numFmt numFmtId="202" formatCode="0.0%"/>
    <x:numFmt numFmtId="203" formatCode="$#,##0.00"/>
    <x:numFmt numFmtId="204" formatCode="$#,##0"/>
    <x:numFmt numFmtId="205" formatCode="$0.000000"/>
    <x:numFmt numFmtId="206" formatCode="$0.0000"/>
    <x:numFmt numFmtId="207" formatCode="0"/>
    <x:numFmt numFmtId="208" formatCode="$0.00"/>
    <x:numFmt numFmtId="209" formatCode="0.0"/>
    <x:numFmt numFmtId="210" formatCode="mmm yy"/>
    <x:numFmt numFmtId="211" formatCode="#,##0"/>
    <x:numFmt numFmtId="212" formatCode="$#,##0.00;[Red]($#,##0.00);-"/>
    <x:numFmt numFmtId="213" formatCode="$#,##0 / mo"/>
    <x:numFmt numFmtId="214" formatCode="$0.00 / mo"/>
    <x:numFmt numFmtId="215" formatCode="$0.00;[Red]($0.00);-"/>
    <x:numFmt numFmtId="216" formatCode="0.0000"/>
  </x:numFmts>
  <x:fonts count="26">
    <x:font>
      <x:sz val="11"/>
      <x:name val="Carlito"/>
    </x:font>
    <x:font>
      <x:b/>
      <x:sz val="18"/>
      <x:color rgb="FFFFFFFF"/>
      <x:name val="Carlito"/>
    </x:font>
    <x:font>
      <x:sz val="10"/>
      <x:color rgb="FF3440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0"/>
      <x:color rgb="FF184E49"/>
      <x:name val="Carlito"/>
    </x:font>
    <x:font>
      <x:b/>
      <x:sz val="10"/>
      <x:color rgb="FF15324B"/>
      <x:name val="Carlito"/>
    </x:font>
    <x:font>
      <x:b/>
      <x:sz val="10"/>
      <x:color rgb="FF7A4A00"/>
      <x:name val="Carlito"/>
    </x:font>
    <x:font>
      <x:b/>
      <x:sz val="11"/>
      <x:color rgb="FF184E49"/>
      <x:name val="Carlito"/>
    </x:font>
    <x:font>
      <x:b/>
      <x:sz val="18"/>
      <x:color rgb="FF0D7D74"/>
      <x:name val="Carlito"/>
    </x:font>
    <x:font>
      <x:i/>
      <x:sz val="9"/>
      <x:color rgb="FF667085"/>
      <x:name val="Carlito"/>
    </x:font>
    <x:font>
      <x:b/>
      <x:sz val="16"/>
      <x:color rgb="FF067647"/>
      <x:name val="Carlito"/>
    </x:font>
    <x:font>
      <x:sz val="10"/>
      <x:color rgb="FF15324B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0"/>
      <x:color rgb="FF344054"/>
      <x:name val="Aptos"/>
    </x:font>
    <x:font>
      <x:b/>
      <x:sz val="10"/>
      <x:color rgb="FFFFFFFF"/>
      <x:name val="Aptos"/>
    </x:font>
    <x:font>
      <x:b/>
      <x:sz val="11"/>
      <x:color rgb="FF184E49"/>
      <x:name val="Aptos"/>
    </x:font>
    <x:font>
      <x:b/>
      <x:sz val="18"/>
      <x:color rgb="FF0D7D74"/>
      <x:name val="Aptos"/>
    </x:font>
    <x:font>
      <x:b/>
      <x:sz val="11"/>
      <x:color rgb="FFFFFFFF"/>
      <x:name val="Aptos"/>
    </x:font>
    <x:font>
      <x:b/>
      <x:sz val="10"/>
      <x:color rgb="FF7A4A00"/>
      <x:name val="Aptos"/>
    </x:font>
    <x:font>
      <x:i/>
      <x:sz val="9"/>
      <x:color rgb="FF667085"/>
      <x:name val="Aptos"/>
    </x:font>
    <x:font>
      <x:b/>
      <x:sz val="10"/>
      <x:color rgb="FF184E49"/>
      <x:name val="Aptos"/>
    </x:font>
    <x:font>
      <x:b/>
      <x:sz val="10"/>
      <x:color rgb="FF15324B"/>
      <x:name val="Aptos"/>
    </x:font>
    <x:font>
      <x:b/>
      <x:sz val="16"/>
      <x:color rgb="FF067647"/>
      <x:name val="Aptos"/>
    </x:font>
    <x:font>
      <x:sz val="10"/>
      <x:color rgb="FF15324B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8EEF4"/>
      </x:patternFill>
    </x:fill>
    <x:fill>
      <x:patternFill patternType="solid">
        <x:fgColor rgb="FF0D7D74"/>
      </x:patternFill>
    </x:fill>
    <x:fill>
      <x:patternFill patternType="solid">
        <x:fgColor rgb="FFFFF2CC"/>
      </x:patternFill>
    </x:fill>
    <x:fill>
      <x:patternFill patternType="solid">
        <x:fgColor rgb="FFEAF2FF"/>
      </x:patternFill>
    </x:fill>
    <x:fill>
      <x:patternFill patternType="solid">
        <x:fgColor rgb="FFEAF5F3"/>
      </x:patternFill>
    </x:fill>
    <x:fill>
      <x:patternFill patternType="solid">
        <x:fgColor rgb="FFF4F6F8"/>
      </x:patternFill>
    </x:fill>
    <x:fill>
      <x:patternFill patternType="solid">
        <x:fgColor rgb="FFFFF4DE"/>
      </x:patternFill>
    </x:fill>
    <x:fill>
      <x:patternFill patternType="solid">
        <x:fgColor rgb="FFFFFFFF"/>
      </x:patternFill>
    </x:fill>
    <x:fill>
      <x:patternFill patternType="solid">
        <x:fgColor rgb="FFE8F5EE"/>
      </x:patternFill>
    </x:fill>
  </x:fills>
  <x:borders count="9">
    <x:border/>
    <x:border>
      <x:left style="thin">
        <x:color rgb="FFC7DAD8"/>
      </x:left>
      <x:right style="thin">
        <x:color rgb="FFC7DAD8"/>
      </x:right>
      <x:top style="thin">
        <x:color rgb="FFC7DAD8"/>
      </x:top>
      <x:bottom style="thin">
        <x:color rgb="FFC7DAD8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5" borderId="2" xfId="0" applyNumberFormat="1" applyFont="1" applyFill="1" applyBorder="1" applyAlignment="1">
      <x:alignment vertical="top"/>
    </x:xf>
    <x:xf numFmtId="0" fontId="2" fillId="5" borderId="3" xfId="0" applyNumberFormat="1" applyFont="1" applyFill="1" applyBorder="1" applyAlignment="1">
      <x:alignment vertical="top"/>
    </x:xf>
    <x:xf numFmtId="0" fontId="2" fillId="5" borderId="4" xfId="0" applyNumberFormat="1" applyFont="1" applyFill="1" applyBorder="1" applyAlignment="1">
      <x:alignment vertical="top"/>
    </x:xf>
    <x:xf numFmtId="0" fontId="2" fillId="6" borderId="3" xfId="0" applyNumberFormat="1" applyFont="1" applyFill="1" applyBorder="1" applyAlignment="1">
      <x:alignment vertical="top"/>
    </x:xf>
    <x:xf numFmtId="200" fontId="2" fillId="5" borderId="2" xfId="0" applyNumberFormat="1" applyFont="1" applyFill="1" applyBorder="1" applyAlignment="1">
      <x:alignment vertical="top"/>
    </x:xf>
    <x:xf numFmtId="201" fontId="2" fillId="5" borderId="3" xfId="0" applyNumberFormat="1" applyFont="1" applyFill="1" applyBorder="1" applyAlignment="1">
      <x:alignment vertical="top"/>
    </x:xf>
    <x:xf numFmtId="202" fontId="2" fillId="5" borderId="3" xfId="0" applyNumberFormat="1" applyFont="1" applyFill="1" applyBorder="1" applyAlignment="1">
      <x:alignment vertical="top"/>
    </x:xf>
    <x:xf numFmtId="203" fontId="2" fillId="5" borderId="3" xfId="0" applyNumberFormat="1" applyFont="1" applyFill="1" applyBorder="1" applyAlignment="1">
      <x:alignment vertical="top"/>
    </x:xf>
    <x:xf numFmtId="203" fontId="2" fillId="6" borderId="3" xfId="0" applyNumberFormat="1" applyFont="1" applyFill="1" applyBorder="1" applyAlignment="1">
      <x:alignment vertical="top"/>
    </x:xf>
    <x:xf numFmtId="203" fontId="2" fillId="5" borderId="4" xfId="0" applyNumberFormat="1" applyFont="1" applyFill="1" applyBorder="1" applyAlignment="1">
      <x:alignment vertical="top"/>
    </x:xf>
    <x:xf numFmtId="203" fontId="2" fillId="0" borderId="2" xfId="0" applyNumberFormat="1" applyFont="1" applyFill="1" applyBorder="1" applyAlignment="1">
      <x:alignment vertical="top"/>
    </x:xf>
    <x:xf numFmtId="202" fontId="2" fillId="0" borderId="3" xfId="0" applyNumberFormat="1" applyFont="1" applyFill="1" applyBorder="1" applyAlignment="1">
      <x:alignment vertical="top"/>
    </x:xf>
    <x:xf numFmtId="203" fontId="2" fillId="0" borderId="3" xfId="0" applyNumberFormat="1" applyFont="1" applyFill="1" applyBorder="1" applyAlignment="1">
      <x:alignment vertical="top"/>
    </x:xf>
    <x:xf numFmtId="203" fontId="2" fillId="0" borderId="4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3" fontId="3" fillId="2" borderId="0" xfId="0" applyNumberFormat="1" applyFont="1" applyFill="1" applyBorder="1"/>
    <x:xf numFmtId="0" fontId="2" fillId="8" borderId="4" xfId="0" applyNumberFormat="1" applyFont="1" applyFill="1" applyBorder="1" applyAlignment="1">
      <x:alignment vertical="top"/>
    </x:xf>
    <x:xf numFmtId="203" fontId="2" fillId="8" borderId="4" xfId="0" applyNumberFormat="1" applyFont="1" applyFill="1" applyBorder="1" applyAlignment="1">
      <x:alignment vertical="top"/>
    </x:xf>
    <x:xf numFmtId="0" fontId="6" fillId="8" borderId="4" xfId="0" applyNumberFormat="1" applyFont="1" applyFill="1" applyBorder="1" applyAlignment="1">
      <x:alignment vertical="top"/>
    </x:xf>
    <x:xf numFmtId="203" fontId="6" fillId="8" borderId="4" xfId="0" applyNumberFormat="1" applyFont="1" applyFill="1" applyBorder="1" applyAlignment="1">
      <x:alignment vertical="top"/>
    </x:xf>
    <x:xf numFmtId="204" fontId="0" fillId="0" borderId="0" xfId="0" applyNumberFormat="1" applyFont="1" applyFill="1" applyBorder="1"/>
    <x:xf numFmtId="205" fontId="2" fillId="0" borderId="2" xfId="0" applyNumberFormat="1" applyFont="1" applyFill="1" applyBorder="1" applyAlignment="1">
      <x:alignment vertical="top"/>
    </x:xf>
    <x:xf numFmtId="205" fontId="2" fillId="0" borderId="3" xfId="0" applyNumberFormat="1" applyFont="1" applyFill="1" applyBorder="1" applyAlignment="1">
      <x:alignment vertical="top"/>
    </x:xf>
    <x:xf numFmtId="205" fontId="2" fillId="0" borderId="4" xfId="0" applyNumberFormat="1" applyFont="1" applyFill="1" applyBorder="1" applyAlignment="1">
      <x:alignment vertical="top"/>
    </x:xf>
    <x:xf numFmtId="0" fontId="2" fillId="7" borderId="3" xfId="0" applyNumberFormat="1" applyFont="1" applyFill="1" applyBorder="1" applyAlignment="1">
      <x:alignment vertical="top"/>
    </x:xf>
    <x:xf numFmtId="205" fontId="2" fillId="7" borderId="3" xfId="0" applyNumberFormat="1" applyFont="1" applyFill="1" applyBorder="1" applyAlignment="1">
      <x:alignment vertical="top"/>
    </x:xf>
    <x:xf numFmtId="0" fontId="2" fillId="6" borderId="4" xfId="0" applyNumberFormat="1" applyFont="1" applyFill="1" applyBorder="1" applyAlignment="1">
      <x:alignment vertical="top"/>
    </x:xf>
    <x:xf numFmtId="205" fontId="2" fillId="6" borderId="4" xfId="0" applyNumberFormat="1" applyFont="1" applyFill="1" applyBorder="1" applyAlignment="1">
      <x:alignment vertical="top"/>
    </x:xf>
    <x:xf numFmtId="206" fontId="2" fillId="0" borderId="2" xfId="0" applyNumberFormat="1" applyFont="1" applyFill="1" applyBorder="1" applyAlignment="1">
      <x:alignment vertical="top"/>
    </x:xf>
    <x:xf numFmtId="206" fontId="2" fillId="0" borderId="3" xfId="0" applyNumberFormat="1" applyFont="1" applyFill="1" applyBorder="1" applyAlignment="1">
      <x:alignment vertical="top"/>
    </x:xf>
    <x:xf numFmtId="206" fontId="2" fillId="0" borderId="4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207" fontId="2" fillId="0" borderId="3" xfId="0" applyNumberFormat="1" applyFont="1" applyFill="1" applyBorder="1" applyAlignment="1">
      <x:alignment vertical="top"/>
    </x:xf>
    <x:xf numFmtId="208" fontId="2" fillId="0" borderId="3" xfId="0" applyNumberFormat="1" applyFont="1" applyFill="1" applyBorder="1" applyAlignment="1">
      <x:alignment vertical="top"/>
    </x:xf>
    <x:xf numFmtId="209" fontId="2" fillId="0" borderId="4" xfId="0" applyNumberFormat="1" applyFont="1" applyFill="1" applyBorder="1" applyAlignment="1">
      <x:alignment vertical="top"/>
    </x:xf>
    <x:xf numFmtId="206" fontId="2" fillId="7" borderId="3" xfId="0" applyNumberFormat="1" applyFont="1" applyFill="1" applyBorder="1" applyAlignment="1">
      <x:alignment vertical="top"/>
    </x:xf>
    <x:xf numFmtId="202" fontId="2" fillId="7" borderId="3" xfId="0" applyNumberFormat="1" applyFont="1" applyFill="1" applyBorder="1" applyAlignment="1">
      <x:alignment vertical="top"/>
    </x:xf>
    <x:xf numFmtId="207" fontId="2" fillId="7" borderId="3" xfId="0" applyNumberFormat="1" applyFont="1" applyFill="1" applyBorder="1" applyAlignment="1">
      <x:alignment vertical="top"/>
    </x:xf>
    <x:xf numFmtId="208" fontId="2" fillId="7" borderId="3" xfId="0" applyNumberFormat="1" applyFont="1" applyFill="1" applyBorder="1" applyAlignment="1">
      <x:alignment vertical="top"/>
    </x:xf>
    <x:xf numFmtId="0" fontId="2" fillId="7" borderId="4" xfId="0" applyNumberFormat="1" applyFont="1" applyFill="1" applyBorder="1" applyAlignment="1">
      <x:alignment vertical="top"/>
    </x:xf>
    <x:xf numFmtId="209" fontId="2" fillId="7" borderId="4" xfId="0" applyNumberFormat="1" applyFont="1" applyFill="1" applyBorder="1" applyAlignment="1">
      <x:alignment vertical="top"/>
    </x:xf>
    <x:xf numFmtId="208" fontId="2" fillId="0" borderId="2" xfId="0" applyNumberFormat="1" applyFont="1" applyFill="1" applyBorder="1" applyAlignment="1">
      <x:alignment vertical="top"/>
    </x:xf>
    <x:xf numFmtId="208" fontId="2" fillId="0" borderId="4" xfId="0" applyNumberFormat="1" applyFont="1" applyFill="1" applyBorder="1" applyAlignment="1">
      <x:alignment vertical="top"/>
    </x:xf>
    <x:xf numFmtId="207" fontId="2" fillId="0" borderId="4" xfId="0" applyNumberFormat="1" applyFont="1" applyFill="1" applyBorder="1" applyAlignment="1">
      <x:alignment vertical="top"/>
    </x:xf>
    <x:xf numFmtId="0" fontId="2" fillId="9" borderId="3" xfId="0" applyNumberFormat="1" applyFont="1" applyFill="1" applyBorder="1" applyAlignment="1">
      <x:alignment vertical="top"/>
    </x:xf>
    <x:xf numFmtId="208" fontId="2" fillId="9" borderId="3" xfId="0" applyNumberFormat="1" applyFont="1" applyFill="1" applyBorder="1" applyAlignment="1">
      <x:alignment vertical="top"/>
    </x:xf>
    <x:xf numFmtId="207" fontId="2" fillId="7" borderId="4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210" fontId="4" fillId="4" borderId="1" xfId="0" applyNumberFormat="1" applyFont="1" applyFill="1" applyBorder="1" applyAlignment="1">
      <x:alignment vertical="center" wrapText="1"/>
    </x:xf>
    <x:xf numFmtId="211" fontId="2" fillId="0" borderId="2" xfId="0" applyNumberFormat="1" applyFont="1" applyFill="1" applyBorder="1" applyAlignment="1">
      <x:alignment vertical="top"/>
    </x:xf>
    <x:xf numFmtId="212" fontId="2" fillId="0" borderId="3" xfId="0" applyNumberFormat="1" applyFont="1" applyFill="1" applyBorder="1" applyAlignment="1">
      <x:alignment vertical="top"/>
    </x:xf>
    <x:xf numFmtId="212" fontId="2" fillId="0" borderId="4" xfId="0" applyNumberFormat="1" applyFont="1" applyFill="1" applyBorder="1" applyAlignment="1">
      <x:alignment vertical="top"/>
    </x:xf>
    <x:xf numFmtId="211" fontId="2" fillId="0" borderId="3" xfId="0" applyNumberFormat="1" applyFont="1" applyFill="1" applyBorder="1" applyAlignment="1">
      <x:alignment vertical="top"/>
    </x:xf>
    <x:xf numFmtId="212" fontId="2" fillId="7" borderId="3" xfId="0" applyNumberFormat="1" applyFont="1" applyFill="1" applyBorder="1" applyAlignment="1">
      <x:alignment vertical="top"/>
    </x:xf>
    <x:xf numFmtId="212" fontId="2" fillId="9" borderId="3" xfId="0" applyNumberFormat="1" applyFont="1" applyFill="1" applyBorder="1" applyAlignment="1">
      <x:alignment vertical="top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13" fontId="9" fillId="10" borderId="0" xfId="0" applyNumberFormat="1" applyFont="1" applyFill="1" applyBorder="1"/>
    <x:xf numFmtId="213" fontId="9" fillId="10" borderId="0" xfId="0" applyNumberFormat="1" applyFont="1" applyFill="1" applyBorder="1" applyAlignment="1">
      <x:alignment vertical="center"/>
    </x:xf>
    <x:xf numFmtId="213" fontId="9" fillId="10" borderId="5" xfId="0" applyNumberFormat="1" applyFont="1" applyFill="1" applyBorder="1" applyAlignment="1">
      <x:alignment vertical="center"/>
    </x:xf>
    <x:xf numFmtId="213" fontId="9" fillId="10" borderId="6" xfId="0" applyNumberFormat="1" applyFont="1" applyFill="1" applyBorder="1" applyAlignment="1">
      <x:alignment vertical="center"/>
    </x:xf>
    <x:xf numFmtId="213" fontId="9" fillId="10" borderId="7" xfId="0" applyNumberFormat="1" applyFont="1" applyFill="1" applyBorder="1" applyAlignment="1">
      <x:alignment vertical="center"/>
    </x:xf>
    <x:xf numFmtId="213" fontId="9" fillId="10" borderId="8" xfId="0" applyNumberFormat="1" applyFont="1" applyFill="1" applyBorder="1" applyAlignment="1">
      <x:alignment vertical="center"/>
    </x:xf>
    <x:xf numFmtId="214" fontId="9" fillId="10" borderId="0" xfId="0" applyNumberFormat="1" applyFont="1" applyFill="1" applyBorder="1"/>
    <x:xf numFmtId="214" fontId="9" fillId="10" borderId="0" xfId="0" applyNumberFormat="1" applyFont="1" applyFill="1" applyBorder="1" applyAlignment="1">
      <x:alignment vertical="center"/>
    </x:xf>
    <x:xf numFmtId="214" fontId="9" fillId="10" borderId="5" xfId="0" applyNumberFormat="1" applyFont="1" applyFill="1" applyBorder="1" applyAlignment="1">
      <x:alignment vertical="center"/>
    </x:xf>
    <x:xf numFmtId="214" fontId="9" fillId="10" borderId="6" xfId="0" applyNumberFormat="1" applyFont="1" applyFill="1" applyBorder="1" applyAlignment="1">
      <x:alignment vertical="center"/>
    </x:xf>
    <x:xf numFmtId="214" fontId="9" fillId="10" borderId="7" xfId="0" applyNumberFormat="1" applyFont="1" applyFill="1" applyBorder="1" applyAlignment="1">
      <x:alignment vertical="center"/>
    </x:xf>
    <x:xf numFmtId="214" fontId="9" fillId="10" borderId="8" xfId="0" applyNumberFormat="1" applyFont="1" applyFill="1" applyBorder="1" applyAlignment="1">
      <x:alignment vertical="center"/>
    </x:xf>
    <x:xf numFmtId="207" fontId="9" fillId="10" borderId="0" xfId="0" applyNumberFormat="1" applyFont="1" applyFill="1" applyBorder="1"/>
    <x:xf numFmtId="207" fontId="9" fillId="10" borderId="0" xfId="0" applyNumberFormat="1" applyFont="1" applyFill="1" applyBorder="1" applyAlignment="1">
      <x:alignment vertical="center"/>
    </x:xf>
    <x:xf numFmtId="207" fontId="9" fillId="10" borderId="5" xfId="0" applyNumberFormat="1" applyFont="1" applyFill="1" applyBorder="1" applyAlignment="1">
      <x:alignment vertical="center"/>
    </x:xf>
    <x:xf numFmtId="207" fontId="9" fillId="10" borderId="6" xfId="0" applyNumberFormat="1" applyFont="1" applyFill="1" applyBorder="1" applyAlignment="1">
      <x:alignment vertical="center"/>
    </x:xf>
    <x:xf numFmtId="207" fontId="9" fillId="10" borderId="7" xfId="0" applyNumberFormat="1" applyFont="1" applyFill="1" applyBorder="1" applyAlignment="1">
      <x:alignment vertical="center"/>
    </x:xf>
    <x:xf numFmtId="207" fontId="9" fillId="10" borderId="8" xfId="0" applyNumberFormat="1" applyFont="1" applyFill="1" applyBorder="1" applyAlignment="1">
      <x:alignment vertical="center"/>
    </x:xf>
    <x:xf numFmtId="208" fontId="9" fillId="10" borderId="0" xfId="0" applyNumberFormat="1" applyFont="1" applyFill="1" applyBorder="1"/>
    <x:xf numFmtId="208" fontId="9" fillId="10" borderId="0" xfId="0" applyNumberFormat="1" applyFont="1" applyFill="1" applyBorder="1" applyAlignment="1">
      <x:alignment vertical="center"/>
    </x:xf>
    <x:xf numFmtId="208" fontId="9" fillId="10" borderId="5" xfId="0" applyNumberFormat="1" applyFont="1" applyFill="1" applyBorder="1" applyAlignment="1">
      <x:alignment vertical="center"/>
    </x:xf>
    <x:xf numFmtId="208" fontId="9" fillId="10" borderId="6" xfId="0" applyNumberFormat="1" applyFont="1" applyFill="1" applyBorder="1" applyAlignment="1">
      <x:alignment vertical="center"/>
    </x:xf>
    <x:xf numFmtId="208" fontId="9" fillId="10" borderId="7" xfId="0" applyNumberFormat="1" applyFont="1" applyFill="1" applyBorder="1" applyAlignment="1">
      <x:alignment vertical="center"/>
    </x:xf>
    <x:xf numFmtId="208" fontId="9" fillId="10" borderId="8" xfId="0" applyNumberFormat="1" applyFont="1" applyFill="1" applyBorder="1" applyAlignment="1">
      <x:alignment vertical="center"/>
    </x:xf>
    <x:xf numFmtId="215" fontId="2" fillId="0" borderId="2" xfId="0" applyNumberFormat="1" applyFont="1" applyFill="1" applyBorder="1" applyAlignment="1">
      <x:alignment vertical="top"/>
    </x:xf>
    <x:xf numFmtId="215" fontId="2" fillId="0" borderId="3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216" fontId="2" fillId="0" borderId="2" xfId="0" applyNumberFormat="1" applyFont="1" applyFill="1" applyBorder="1" applyAlignment="1">
      <x:alignment vertical="top"/>
    </x:xf>
    <x:xf numFmtId="216" fontId="2" fillId="0" borderId="3" xfId="0" applyNumberFormat="1" applyFont="1" applyFill="1" applyBorder="1" applyAlignment="1">
      <x:alignment vertical="top"/>
    </x:xf>
    <x:xf numFmtId="216" fontId="2" fillId="0" borderId="4" xfId="0" applyNumberFormat="1" applyFont="1" applyFill="1" applyBorder="1" applyAlignment="1">
      <x:alignment vertical="top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5" fillId="3" borderId="0" xfId="0" applyNumberFormat="1" applyFont="1" applyFill="1" applyBorder="1" applyAlignment="1">
      <x:alignment vertical="center" wrapText="1"/>
    </x:xf>
    <x:xf numFmtId="0" fontId="16" fillId="4" borderId="1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wrapText="1"/>
    </x:xf>
    <x:xf numFmtId="204" fontId="14" fillId="0" borderId="0" xfId="0" applyNumberFormat="1" applyFont="1" applyFill="1" applyBorder="1"/>
    <x:xf numFmtId="0" fontId="16" fillId="2" borderId="0" xfId="0" applyNumberFormat="1" applyFont="1" applyFill="1" applyBorder="1"/>
    <x:xf numFmtId="213" fontId="18" fillId="10" borderId="5" xfId="0" applyNumberFormat="1" applyFont="1" applyFill="1" applyBorder="1" applyAlignment="1">
      <x:alignment vertical="center"/>
    </x:xf>
    <x:xf numFmtId="213" fontId="18" fillId="10" borderId="6" xfId="0" applyNumberFormat="1" applyFont="1" applyFill="1" applyBorder="1" applyAlignment="1">
      <x:alignment vertical="center"/>
    </x:xf>
    <x:xf numFmtId="214" fontId="18" fillId="10" borderId="5" xfId="0" applyNumberFormat="1" applyFont="1" applyFill="1" applyBorder="1" applyAlignment="1">
      <x:alignment vertical="center"/>
    </x:xf>
    <x:xf numFmtId="214" fontId="18" fillId="10" borderId="6" xfId="0" applyNumberFormat="1" applyFont="1" applyFill="1" applyBorder="1" applyAlignment="1">
      <x:alignment vertical="center"/>
    </x:xf>
    <x:xf numFmtId="207" fontId="18" fillId="10" borderId="5" xfId="0" applyNumberFormat="1" applyFont="1" applyFill="1" applyBorder="1" applyAlignment="1">
      <x:alignment vertical="center"/>
    </x:xf>
    <x:xf numFmtId="207" fontId="18" fillId="10" borderId="6" xfId="0" applyNumberFormat="1" applyFont="1" applyFill="1" applyBorder="1" applyAlignment="1">
      <x:alignment vertical="center"/>
    </x:xf>
    <x:xf numFmtId="208" fontId="18" fillId="10" borderId="5" xfId="0" applyNumberFormat="1" applyFont="1" applyFill="1" applyBorder="1" applyAlignment="1">
      <x:alignment vertical="center"/>
    </x:xf>
    <x:xf numFmtId="208" fontId="18" fillId="10" borderId="6" xfId="0" applyNumberFormat="1" applyFont="1" applyFill="1" applyBorder="1" applyAlignment="1">
      <x:alignment vertical="center"/>
    </x:xf>
    <x:xf numFmtId="213" fontId="18" fillId="10" borderId="7" xfId="0" applyNumberFormat="1" applyFont="1" applyFill="1" applyBorder="1" applyAlignment="1">
      <x:alignment vertical="center"/>
    </x:xf>
    <x:xf numFmtId="213" fontId="18" fillId="10" borderId="8" xfId="0" applyNumberFormat="1" applyFont="1" applyFill="1" applyBorder="1" applyAlignment="1">
      <x:alignment vertical="center"/>
    </x:xf>
    <x:xf numFmtId="214" fontId="18" fillId="10" borderId="7" xfId="0" applyNumberFormat="1" applyFont="1" applyFill="1" applyBorder="1" applyAlignment="1">
      <x:alignment vertical="center"/>
    </x:xf>
    <x:xf numFmtId="214" fontId="18" fillId="10" borderId="8" xfId="0" applyNumberFormat="1" applyFont="1" applyFill="1" applyBorder="1" applyAlignment="1">
      <x:alignment vertical="center"/>
    </x:xf>
    <x:xf numFmtId="207" fontId="18" fillId="10" borderId="7" xfId="0" applyNumberFormat="1" applyFont="1" applyFill="1" applyBorder="1" applyAlignment="1">
      <x:alignment vertical="center"/>
    </x:xf>
    <x:xf numFmtId="207" fontId="18" fillId="10" borderId="8" xfId="0" applyNumberFormat="1" applyFont="1" applyFill="1" applyBorder="1" applyAlignment="1">
      <x:alignment vertical="center"/>
    </x:xf>
    <x:xf numFmtId="208" fontId="18" fillId="10" borderId="7" xfId="0" applyNumberFormat="1" applyFont="1" applyFill="1" applyBorder="1" applyAlignment="1">
      <x:alignment vertical="center"/>
    </x:xf>
    <x:xf numFmtId="208" fontId="18" fillId="10" borderId="8" xfId="0" applyNumberFormat="1" applyFont="1" applyFill="1" applyBorder="1" applyAlignment="1">
      <x:alignment vertical="center"/>
    </x:xf>
    <x:xf numFmtId="0" fontId="19" fillId="2" borderId="0" xfId="0" applyNumberFormat="1" applyFont="1" applyFill="1" applyBorder="1" applyAlignment="1">
      <x:alignment vertical="center"/>
    </x:xf>
    <x:xf numFmtId="0" fontId="15" fillId="0" borderId="2" xfId="0" applyNumberFormat="1" applyFont="1" applyFill="1" applyBorder="1" applyAlignment="1">
      <x:alignment vertical="top"/>
    </x:xf>
    <x:xf numFmtId="215" fontId="15" fillId="0" borderId="2" xfId="0" applyNumberFormat="1" applyFont="1" applyFill="1" applyBorder="1" applyAlignment="1">
      <x:alignment vertical="top"/>
    </x:xf>
    <x:xf numFmtId="0" fontId="15" fillId="0" borderId="3" xfId="0" applyNumberFormat="1" applyFont="1" applyFill="1" applyBorder="1" applyAlignment="1">
      <x:alignment vertical="top"/>
    </x:xf>
    <x:xf numFmtId="215" fontId="15" fillId="0" borderId="3" xfId="0" applyNumberFormat="1" applyFont="1" applyFill="1" applyBorder="1" applyAlignment="1">
      <x:alignment vertical="top"/>
    </x:xf>
    <x:xf numFmtId="0" fontId="15" fillId="0" borderId="4" xfId="0" applyNumberFormat="1" applyFont="1" applyFill="1" applyBorder="1" applyAlignment="1">
      <x:alignment vertical="top"/>
    </x:xf>
    <x:xf numFmtId="207" fontId="15" fillId="0" borderId="4" xfId="0" applyNumberFormat="1" applyFont="1" applyFill="1" applyBorder="1" applyAlignment="1">
      <x:alignment vertical="top"/>
    </x:xf>
    <x:xf numFmtId="0" fontId="20" fillId="9" borderId="0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wrapText="1"/>
    </x:xf>
    <x:xf numFmtId="200" fontId="15" fillId="5" borderId="2" xfId="0" applyNumberFormat="1" applyFont="1" applyFill="1" applyBorder="1" applyAlignment="1">
      <x:alignment vertical="top"/>
    </x:xf>
    <x:xf numFmtId="0" fontId="15" fillId="5" borderId="3" xfId="0" applyNumberFormat="1" applyFont="1" applyFill="1" applyBorder="1" applyAlignment="1">
      <x:alignment vertical="top"/>
    </x:xf>
    <x:xf numFmtId="202" fontId="15" fillId="5" borderId="3" xfId="0" applyNumberFormat="1" applyFont="1" applyFill="1" applyBorder="1" applyAlignment="1">
      <x:alignment vertical="top"/>
    </x:xf>
    <x:xf numFmtId="0" fontId="15" fillId="6" borderId="3" xfId="0" applyNumberFormat="1" applyFont="1" applyFill="1" applyBorder="1" applyAlignment="1">
      <x:alignment vertical="top"/>
    </x:xf>
    <x:xf numFmtId="203" fontId="15" fillId="5" borderId="3" xfId="0" applyNumberFormat="1" applyFont="1" applyFill="1" applyBorder="1" applyAlignment="1">
      <x:alignment vertical="top"/>
    </x:xf>
    <x:xf numFmtId="201" fontId="15" fillId="5" borderId="3" xfId="0" applyNumberFormat="1" applyFont="1" applyFill="1" applyBorder="1" applyAlignment="1">
      <x:alignment vertical="top"/>
    </x:xf>
    <x:xf numFmtId="203" fontId="15" fillId="6" borderId="3" xfId="0" applyNumberFormat="1" applyFont="1" applyFill="1" applyBorder="1" applyAlignment="1">
      <x:alignment vertical="top"/>
    </x:xf>
    <x:xf numFmtId="203" fontId="15" fillId="5" borderId="4" xfId="0" applyNumberFormat="1" applyFont="1" applyFill="1" applyBorder="1" applyAlignment="1">
      <x:alignment vertical="top"/>
    </x:xf>
    <x:xf numFmtId="203" fontId="15" fillId="0" borderId="2" xfId="0" applyNumberFormat="1" applyFont="1" applyFill="1" applyBorder="1" applyAlignment="1">
      <x:alignment vertical="top"/>
    </x:xf>
    <x:xf numFmtId="202" fontId="15" fillId="0" borderId="3" xfId="0" applyNumberFormat="1" applyFont="1" applyFill="1" applyBorder="1" applyAlignment="1">
      <x:alignment vertical="top"/>
    </x:xf>
    <x:xf numFmtId="203" fontId="15" fillId="0" borderId="3" xfId="0" applyNumberFormat="1" applyFont="1" applyFill="1" applyBorder="1" applyAlignment="1">
      <x:alignment vertical="top"/>
    </x:xf>
    <x:xf numFmtId="203" fontId="15" fillId="0" borderId="4" xfId="0" applyNumberFormat="1" applyFont="1" applyFill="1" applyBorder="1" applyAlignment="1">
      <x:alignment vertical="top"/>
    </x:xf>
    <x:xf numFmtId="0" fontId="22" fillId="7" borderId="0" xfId="0" applyNumberFormat="1" applyFont="1" applyFill="1" applyBorder="1" applyAlignment="1">
      <x:alignment wrapText="1"/>
    </x:xf>
    <x:xf numFmtId="0" fontId="19" fillId="2" borderId="0" xfId="0" applyNumberFormat="1" applyFont="1" applyFill="1" applyBorder="1"/>
    <x:xf numFmtId="203" fontId="19" fillId="2" borderId="0" xfId="0" applyNumberFormat="1" applyFont="1" applyFill="1" applyBorder="1"/>
    <x:xf numFmtId="0" fontId="23" fillId="8" borderId="4" xfId="0" applyNumberFormat="1" applyFont="1" applyFill="1" applyBorder="1" applyAlignment="1">
      <x:alignment vertical="top"/>
    </x:xf>
    <x:xf numFmtId="203" fontId="23" fillId="8" borderId="4" xfId="0" applyNumberFormat="1" applyFont="1" applyFill="1" applyBorder="1" applyAlignment="1">
      <x:alignment vertical="top"/>
    </x:xf>
    <x:xf numFmtId="205" fontId="15" fillId="0" borderId="2" xfId="0" applyNumberFormat="1" applyFont="1" applyFill="1" applyBorder="1" applyAlignment="1">
      <x:alignment vertical="top"/>
    </x:xf>
    <x:xf numFmtId="0" fontId="15" fillId="7" borderId="3" xfId="0" applyNumberFormat="1" applyFont="1" applyFill="1" applyBorder="1" applyAlignment="1">
      <x:alignment vertical="top"/>
    </x:xf>
    <x:xf numFmtId="205" fontId="15" fillId="7" borderId="3" xfId="0" applyNumberFormat="1" applyFont="1" applyFill="1" applyBorder="1" applyAlignment="1">
      <x:alignment vertical="top"/>
    </x:xf>
    <x:xf numFmtId="0" fontId="15" fillId="6" borderId="4" xfId="0" applyNumberFormat="1" applyFont="1" applyFill="1" applyBorder="1" applyAlignment="1">
      <x:alignment vertical="top"/>
    </x:xf>
    <x:xf numFmtId="205" fontId="15" fillId="6" borderId="4" xfId="0" applyNumberFormat="1" applyFont="1" applyFill="1" applyBorder="1" applyAlignment="1">
      <x:alignment vertical="top"/>
    </x:xf>
    <x:xf numFmtId="206" fontId="15" fillId="0" borderId="2" xfId="0" applyNumberFormat="1" applyFont="1" applyFill="1" applyBorder="1" applyAlignment="1">
      <x:alignment vertical="top"/>
    </x:xf>
    <x:xf numFmtId="206" fontId="15" fillId="0" borderId="3" xfId="0" applyNumberFormat="1" applyFont="1" applyFill="1" applyBorder="1" applyAlignment="1">
      <x:alignment vertical="top"/>
    </x:xf>
    <x:xf numFmtId="206" fontId="15" fillId="0" borderId="4" xfId="0" applyNumberFormat="1" applyFont="1" applyFill="1" applyBorder="1" applyAlignment="1">
      <x:alignment vertical="top"/>
    </x:xf>
    <x:xf numFmtId="208" fontId="15" fillId="0" borderId="2" xfId="0" applyNumberFormat="1" applyFont="1" applyFill="1" applyBorder="1" applyAlignment="1">
      <x:alignment vertical="top"/>
    </x:xf>
    <x:xf numFmtId="208" fontId="15" fillId="0" borderId="3" xfId="0" applyNumberFormat="1" applyFont="1" applyFill="1" applyBorder="1" applyAlignment="1">
      <x:alignment vertical="top"/>
    </x:xf>
    <x:xf numFmtId="0" fontId="15" fillId="9" borderId="3" xfId="0" applyNumberFormat="1" applyFont="1" applyFill="1" applyBorder="1" applyAlignment="1">
      <x:alignment vertical="top"/>
    </x:xf>
    <x:xf numFmtId="208" fontId="15" fillId="9" borderId="3" xfId="0" applyNumberFormat="1" applyFont="1" applyFill="1" applyBorder="1" applyAlignment="1">
      <x:alignment vertical="top"/>
    </x:xf>
    <x:xf numFmtId="207" fontId="15" fillId="0" borderId="3" xfId="0" applyNumberFormat="1" applyFont="1" applyFill="1" applyBorder="1" applyAlignment="1">
      <x:alignment vertical="top"/>
    </x:xf>
    <x:xf numFmtId="0" fontId="15" fillId="7" borderId="4" xfId="0" applyNumberFormat="1" applyFont="1" applyFill="1" applyBorder="1" applyAlignment="1">
      <x:alignment vertical="top"/>
    </x:xf>
    <x:xf numFmtId="207" fontId="15" fillId="7" borderId="4" xfId="0" applyNumberFormat="1" applyFont="1" applyFill="1" applyBorder="1" applyAlignment="1">
      <x:alignment vertical="top"/>
    </x:xf>
    <x:xf numFmtId="0" fontId="23" fillId="6" borderId="0" xfId="0" applyNumberFormat="1" applyFont="1" applyFill="1" applyBorder="1" applyAlignment="1">
      <x:alignment wrapText="1"/>
    </x:xf>
    <x:xf numFmtId="210" fontId="16" fillId="4" borderId="1" xfId="0" applyNumberFormat="1" applyFont="1" applyFill="1" applyBorder="1" applyAlignment="1">
      <x:alignment vertical="center" wrapText="1"/>
    </x:xf>
    <x:xf numFmtId="211" fontId="15" fillId="0" borderId="2" xfId="0" applyNumberFormat="1" applyFont="1" applyFill="1" applyBorder="1" applyAlignment="1">
      <x:alignment vertical="top"/>
    </x:xf>
    <x:xf numFmtId="212" fontId="15" fillId="0" borderId="3" xfId="0" applyNumberFormat="1" applyFont="1" applyFill="1" applyBorder="1" applyAlignment="1">
      <x:alignment vertical="top"/>
    </x:xf>
    <x:xf numFmtId="212" fontId="15" fillId="0" borderId="4" xfId="0" applyNumberFormat="1" applyFont="1" applyFill="1" applyBorder="1" applyAlignment="1">
      <x:alignment vertical="top"/>
    </x:xf>
    <x:xf numFmtId="211" fontId="15" fillId="0" borderId="3" xfId="0" applyNumberFormat="1" applyFont="1" applyFill="1" applyBorder="1" applyAlignment="1">
      <x:alignment vertical="top"/>
    </x:xf>
    <x:xf numFmtId="212" fontId="15" fillId="7" borderId="3" xfId="0" applyNumberFormat="1" applyFont="1" applyFill="1" applyBorder="1" applyAlignment="1">
      <x:alignment vertical="top"/>
    </x:xf>
    <x:xf numFmtId="212" fontId="15" fillId="9" borderId="3" xfId="0" applyNumberFormat="1" applyFont="1" applyFill="1" applyBorder="1" applyAlignment="1">
      <x:alignment vertical="top"/>
    </x:xf>
    <x:xf numFmtId="206" fontId="15" fillId="7" borderId="3" xfId="0" applyNumberFormat="1" applyFont="1" applyFill="1" applyBorder="1" applyAlignment="1">
      <x:alignment vertical="top"/>
    </x:xf>
    <x:xf numFmtId="202" fontId="15" fillId="7" borderId="3" xfId="0" applyNumberFormat="1" applyFont="1" applyFill="1" applyBorder="1" applyAlignment="1">
      <x:alignment vertical="top"/>
    </x:xf>
    <x:xf numFmtId="207" fontId="15" fillId="7" borderId="3" xfId="0" applyNumberFormat="1" applyFont="1" applyFill="1" applyBorder="1" applyAlignment="1">
      <x:alignment vertical="top"/>
    </x:xf>
    <x:xf numFmtId="208" fontId="15" fillId="7" borderId="3" xfId="0" applyNumberFormat="1" applyFont="1" applyFill="1" applyBorder="1" applyAlignment="1">
      <x:alignment vertical="top"/>
    </x:xf>
    <x:xf numFmtId="209" fontId="15" fillId="7" borderId="4" xfId="0" applyNumberFormat="1" applyFont="1" applyFill="1" applyBorder="1" applyAlignment="1">
      <x:alignment vertical="top"/>
    </x:xf>
    <x:xf numFmtId="208" fontId="15" fillId="0" borderId="4" xfId="0" applyNumberFormat="1" applyFont="1" applyFill="1" applyBorder="1" applyAlignment="1">
      <x:alignment vertical="top"/>
    </x:xf>
    <x:xf numFmtId="216" fontId="15" fillId="0" borderId="2" xfId="0" applyNumberFormat="1" applyFont="1" applyFill="1" applyBorder="1" applyAlignment="1">
      <x:alignment vertical="top"/>
    </x:xf>
    <x:xf numFmtId="216" fontId="15" fillId="0" borderId="3" xfId="0" applyNumberFormat="1" applyFont="1" applyFill="1" applyBorder="1" applyAlignment="1">
      <x:alignment vertical="top"/>
    </x:xf>
    <x:xf numFmtId="216" fontId="15" fillId="0" borderId="4" xfId="0" applyNumberFormat="1" applyFont="1" applyFill="1" applyBorder="1" applyAlignment="1">
      <x:alignment vertical="top"/>
    </x:xf>
    <x:xf numFmtId="0" fontId="24" fillId="11" borderId="0" xfId="0" applyNumberFormat="1" applyFont="1" applyFill="1" applyBorder="1"/>
    <x:xf numFmtId="0" fontId="2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ff5c9b7254452" /><Relationship Type="http://schemas.openxmlformats.org/officeDocument/2006/relationships/theme" Target="/xl/theme/theme1.xml" Id="R4daa635cbfdd4360" /><Relationship Type="http://schemas.openxmlformats.org/officeDocument/2006/relationships/sharedStrings" Target="/xl/sharedStrings.xml" Id="R0e5746c6e31b4845" /><Relationship Type="http://schemas.openxmlformats.org/officeDocument/2006/relationships/worksheet" Target="/xl/worksheets/sheet1.xml" Id="Re62df55e24c64533" /><Relationship Type="http://schemas.openxmlformats.org/officeDocument/2006/relationships/worksheet" Target="/xl/worksheets/sheet2.xml" Id="Rac304b7c2b3f4d92" /><Relationship Type="http://schemas.openxmlformats.org/officeDocument/2006/relationships/worksheet" Target="/xl/worksheets/sheet3.xml" Id="R090b754b61514659" /><Relationship Type="http://schemas.openxmlformats.org/officeDocument/2006/relationships/worksheet" Target="/xl/worksheets/sheet4.xml" Id="R8395bc34b0584987" /><Relationship Type="http://schemas.openxmlformats.org/officeDocument/2006/relationships/worksheet" Target="/xl/worksheets/sheet5.xml" Id="Rbd22be7ec68e4361" /><Relationship Type="http://schemas.openxmlformats.org/officeDocument/2006/relationships/worksheet" Target="/xl/worksheets/sheet6.xml" Id="R7f3e5b6f689647da" /><Relationship Type="http://schemas.openxmlformats.org/officeDocument/2006/relationships/worksheet" Target="/xl/worksheets/sheet7.xml" Id="R87c2de35bfa74f2e" /><Relationship Type="http://schemas.openxmlformats.org/officeDocument/2006/relationships/worksheet" Target="/xl/worksheets/sheet8.xml" Id="Re68ec17416d84ed7" /><Relationship Type="http://schemas.openxmlformats.org/officeDocument/2006/relationships/worksheet" Target="/xl/worksheets/sheet9.xml" Id="R66c9e98c8fdd4994" /><Relationship Type="http://schemas.microsoft.com/office/2017/10/relationships/person" Target="/xl/persons/person.xml" Id="Rf08892a036cd43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68453e2e2548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91b44f22d1347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61df472bb9948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cash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Historical</c:v>
          </c:tx>
          <c:marker>
            <c:symbol val="none"/>
          </c:marker>
          <c:cat>
            <c:strRef>
              <c:f>'Summary'!$J$4:$J$15</c:f>
              <c:strCache>
                <c:ptCount val="0"/>
              </c:strCache>
            </c:strRef>
          </c:cat>
          <c:val>
            <c:numRef>
              <c:f>'Summary'!$K$4:$K$15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Current organic</c:v>
          </c:tx>
          <c:marker>
            <c:symbol val="none"/>
          </c:marker>
          <c:cat>
            <c:strRef>
              <c:f>'Summary'!$J$4:$J$15</c:f>
              <c:strCache>
                <c:ptCount val="0"/>
              </c:strCache>
            </c:strRef>
          </c:cat>
          <c:val>
            <c:numRef>
              <c:f>'Summary'!$L$4:$L$15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Current paid CAC</c:v>
          </c:tx>
          <c:marker>
            <c:symbol val="none"/>
          </c:marker>
          <c:cat>
            <c:strRef>
              <c:f>'Summary'!$J$4:$J$15</c:f>
              <c:strCache>
                <c:ptCount val="0"/>
              </c:strCache>
            </c:strRef>
          </c:cat>
          <c:val>
            <c:numRef>
              <c:f>'Summary'!$M$4:$M$15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Fixed software OpEx ($/month)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Historical</c:v>
          </c:tx>
          <c:cat>
            <c:strRef>
              <c:f>'Stack Comparison'!$I$5</c:f>
              <c:strCache>
                <c:ptCount val="0"/>
              </c:strCache>
            </c:strRef>
          </c:cat>
          <c:val>
            <c:numRef>
              <c:f>'Stack Comparison'!$J$5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Current lean</c:v>
          </c:tx>
          <c:cat>
            <c:strRef>
              <c:f>'Stack Comparison'!$I$5</c:f>
              <c:strCache>
                <c:ptCount val="0"/>
              </c:strCache>
            </c:strRef>
          </c:cat>
          <c:val>
            <c:numRef>
              <c:f>'Stack Comparison'!$K$5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Current monitored</c:v>
          </c:tx>
          <c:cat>
            <c:strRef>
              <c:f>'Stack Comparison'!$I$5</c:f>
              <c:strCache>
                <c:ptCount val="0"/>
              </c:strCache>
            </c:strRef>
          </c:cat>
          <c:val>
            <c:numRef>
              <c:f>'Stack Comparison'!$L$5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operating profit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Historical Feb 23</c:v>
          </c:tx>
          <c:marker>
            <c:symbol val="none"/>
          </c:marker>
          <c:cat>
            <c:strRef>
              <c:f>'Forecast 12M'!$A$49:$A$60</c:f>
              <c:strCache>
                <c:ptCount val="0"/>
              </c:strCache>
            </c:strRef>
          </c:cat>
          <c:val>
            <c:numRef>
              <c:f>'Forecast 12M'!$B$49:$B$60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Current organic</c:v>
          </c:tx>
          <c:marker>
            <c:symbol val="none"/>
          </c:marker>
          <c:cat>
            <c:strRef>
              <c:f>'Forecast 12M'!$A$49:$A$60</c:f>
              <c:strCache>
                <c:ptCount val="0"/>
              </c:strCache>
            </c:strRef>
          </c:cat>
          <c:val>
            <c:numRef>
              <c:f>'Forecast 12M'!$C$49:$C$60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Current paid CAC</c:v>
          </c:tx>
          <c:marker>
            <c:symbol val="none"/>
          </c:marker>
          <c:cat>
            <c:strRef>
              <c:f>'Forecast 12M'!$A$49:$A$60</c:f>
              <c:strCache>
                <c:ptCount val="0"/>
              </c:strCache>
            </c:strRef>
          </c:cat>
          <c:val>
            <c:numRef>
              <c:f>'Forecast 12M'!$D$49:$D$60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68453e2e2548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1b44f22d1347b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47</xdr:row>
      <xdr:rowOff>0</xdr:rowOff>
    </xdr:from>
    <xdr:to>
      <xdr:col>13</xdr:col>
      <xdr:colOff>0</xdr:colOff>
      <xdr:row>63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1df472bb99485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C94E587-3CEA-4DB6-A909-9562E5A4E63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9-05T00:53:19.777" personId="{FC94E587-3CEA-4DB6-A909-9562E5A4E63A}" id="{16D79DC5-FCF1-458B-9B11-8C8685E8A2A8}">
    <xltc:text>Assumption preserved from every prior model: 2% of new trial users become paid users.</xltc:text>
  </xltc:threadedComment>
  <xltc:threadedComment ref="B30" dT="2026-09-05T00:53:19.778" personId="{FC94E587-3CEA-4DB6-A909-9562E5A4E63A}" id="{164D43C6-1C44-41A7-80C8-018AF775FA03}">
    <xltc:text>CAC ceiling uses a 3:1 contribution-LTV-to-CAC ratio and the higher published 2027 Gemini 3.6 Flash price.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af91e73e5c49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b5c500f402b4978" /><Relationship Type="http://schemas.openxmlformats.org/officeDocument/2006/relationships/vmlDrawing" Target="/xl/drawings/vmldrawing.vml" Id="Rb34fdf70489d4172" /><Relationship Type="http://schemas.microsoft.com/office/2017/10/relationships/threadedComment" Target="/xl/threadedcomments/threadedcomment.xml" Id="R1c9b1ada8a2a40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7acc7fd343e42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5eb82187a3af41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34" hidden="0" customWidth="1"/>
    <x:col min="8" max="8" width="37" hidden="0" customWidth="1"/>
    <x:col min="9" max="9" width="3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123" t="str">
        <x:v>SpeakSharp — updated financial model</x:v>
      </x:c>
      <x:c r="B1" s="123" t="str">
        <x:v>SpeakSharp — updated financial model</x:v>
      </x:c>
      <x:c r="C1" s="123" t="str">
        <x:v>SpeakSharp — updated financial model</x:v>
      </x:c>
      <x:c r="D1" s="123" t="str">
        <x:v>SpeakSharp — updated financial model</x:v>
      </x:c>
      <x:c r="E1" s="123" t="str">
        <x:v>SpeakSharp — updated financial model</x:v>
      </x:c>
      <x:c r="F1" s="123" t="str">
        <x:v>SpeakSharp — updated financial model</x:v>
      </x:c>
      <x:c r="G1" s="123" t="str">
        <x:v>SpeakSharp — updated financial model</x:v>
      </x:c>
      <x:c r="H1" s="123" t="str">
        <x:v>SpeakSharp — updated financial model</x:v>
      </x:c>
      <x:c r="I1" s="124"/>
      <x:c r="J1" s="124"/>
      <x:c r="K1" s="124"/>
      <x:c r="L1" s="124"/>
      <x:c r="M1" s="124"/>
    </x:row>
    <x:row r="2" ht="32" customHeight="1">
      <x:c r="A2" s="125" t="str">
        <x:v>Forecast version 2026-09-05 · Unvalidated planning case: current private STT, $10/month after 30-day trial</x:v>
      </x:c>
      <x:c r="B2" s="125" t="str">
        <x:v>Forecast version 2026-09-05 · Base posture: current private STT, $10/month after 30-day trial, 500 new trials/month, 2% conversion, six-month paid lifetime. Assumptions are editable; outputs recalculate.</x:v>
      </x:c>
      <x:c r="C2" s="125" t="str">
        <x:v>Forecast version 2026-09-05 · Base posture: current private STT, $10/month after 30-day trial, 500 new trials/month, 2% conversion, six-month paid lifetime. Assumptions are editable; outputs recalculate.</x:v>
      </x:c>
      <x:c r="D2" s="125" t="str">
        <x:v>Forecast version 2026-09-05 · Base posture: current private STT, $10/month after 30-day trial, 500 new trials/month, 2% conversion, six-month paid lifetime. Assumptions are editable; outputs recalculate.</x:v>
      </x:c>
      <x:c r="E2" s="125" t="str">
        <x:v>Forecast version 2026-09-05 · Base posture: current private STT, $10/month after 30-day trial, 500 new trials/month, 2% conversion, six-month paid lifetime. Assumptions are editable; outputs recalculate.</x:v>
      </x:c>
      <x:c r="F2" s="125" t="str">
        <x:v>Forecast version 2026-09-05 · Base posture: current private STT, $10/month after 30-day trial, 500 new trials/month, 2% conversion, six-month paid lifetime. Assumptions are editable; outputs recalculate.</x:v>
      </x:c>
      <x:c r="G2" s="125" t="str">
        <x:v>Forecast version 2026-09-05 · Base posture: current private STT, $10/month after 30-day trial, 500 new trials/month, 2% conversion, six-month paid lifetime. Assumptions are editable; outputs recalculate.</x:v>
      </x:c>
      <x:c r="H2" s="125" t="str">
        <x:v>Forecast version 2026-09-05 · Base posture: current private STT, $10/month after 30-day trial, 500 new trials/month, 2% conversion, six-month paid lifetime. Assumptions are editable; outputs recalculate.</x:v>
      </x:c>
      <x:c r="I2" s="124"/>
      <x:c r="J2" s="124"/>
      <x:c r="K2" s="124"/>
      <x:c r="L2" s="124"/>
      <x:c r="M2" s="124"/>
    </x:row>
    <x:row r="3" ht="26" customHeight="1">
      <x:c r="A3" s="125" t="str">
        <x:v>Forecast version 2026-09-05 · Base posture: current private STT, $10/month after 30-day trial, 500 new trials/month, 2% conversion, six-month paid lifetime. Assumptions are editable; outputs recalculate.</x:v>
      </x:c>
      <x:c r="B3" s="125" t="str">
        <x:v>Forecast version 2026-09-05 · Base posture: current private STT, $10/month after 30-day trial, 500 new trials/month, 2% conversion, six-month paid lifetime. Assumptions are editable; outputs recalculate.</x:v>
      </x:c>
      <x:c r="C3" s="125" t="str">
        <x:v>Forecast version 2026-09-05 · Base posture: current private STT, $10/month after 30-day trial, 500 new trials/month, 2% conversion, six-month paid lifetime. Assumptions are editable; outputs recalculate.</x:v>
      </x:c>
      <x:c r="D3" s="125" t="str">
        <x:v>Forecast version 2026-09-05 · Base posture: current private STT, $10/month after 30-day trial, 500 new trials/month, 2% conversion, six-month paid lifetime. Assumptions are editable; outputs recalculate.</x:v>
      </x:c>
      <x:c r="E3" s="125" t="str">
        <x:v>Forecast version 2026-09-05 · Base posture: current private STT, $10/month after 30-day trial, 500 new trials/month, 2% conversion, six-month paid lifetime. Assumptions are editable; outputs recalculate.</x:v>
      </x:c>
      <x:c r="F3" s="125" t="str">
        <x:v>Forecast version 2026-09-05 · Base posture: current private STT, $10/month after 30-day trial, 500 new trials/month, 2% conversion, six-month paid lifetime. Assumptions are editable; outputs recalculate.</x:v>
      </x:c>
      <x:c r="G3" s="125" t="str">
        <x:v>Forecast version 2026-09-05 · Base posture: current private STT, $10/month after 30-day trial, 500 new trials/month, 2% conversion, six-month paid lifetime. Assumptions are editable; outputs recalculate.</x:v>
      </x:c>
      <x:c r="H3" s="125" t="str">
        <x:v>Forecast version 2026-09-05 · Base posture: current private STT, $10/month after 30-day trial, 500 new trials/month, 2% conversion, six-month paid lifetime. Assumptions are editable; outputs recalculate.</x:v>
      </x:c>
      <x:c r="I3" s="124"/>
      <x:c r="J3" s="126" t="str">
        <x:v>Period</x:v>
      </x:c>
      <x:c r="K3" s="126" t="str">
        <x:v>Historical</x:v>
      </x:c>
      <x:c r="L3" s="126" t="str">
        <x:v>Current organic</x:v>
      </x:c>
      <x:c r="M3" s="126" t="str">
        <x:v>Current paid CAC</x:v>
      </x:c>
    </x:row>
    <x:row r="4">
      <x:c r="A4" s="127" t="str">
        <x:v>Planning conclusion: under the stated assumptions, the lean stack lowers fixed cost. Trial conversion, lifetime, usage, CAC and revenue remain unmeasured hypotheses; use this workbook for sensitivity planning, not release or investment proof.</x:v>
      </x:c>
      <x:c r="B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C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D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E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F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G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H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I4" s="124"/>
      <x:c r="J4" s="124" t="str">
        <x:f>TEXT('Forecast 12M'!B$4,"mmm yy")</x:f>
        <x:v>Sep 26</x:v>
      </x:c>
      <x:c r="K4" s="128" t="n">
        <x:f>'Forecast 12M'!B$12</x:f>
        <x:v>0.8000000000000114</x:v>
      </x:c>
      <x:c r="L4" s="128" t="n">
        <x:f>'Forecast 12M'!B$27</x:f>
        <x:v>-58.125</x:v>
      </x:c>
      <x:c r="M4" s="128" t="n">
        <x:f>'Forecast 12M'!B$42</x:f>
        <x:v>-243.875</x:v>
      </x:c>
    </x:row>
    <x:row r="5">
      <x:c r="A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B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C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D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E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F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G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H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I5" s="124"/>
      <x:c r="J5" s="124" t="str">
        <x:f>TEXT('Forecast 12M'!C$4,"mmm yy")</x:f>
        <x:v>Oct 26</x:v>
      </x:c>
      <x:c r="K5" s="128" t="n">
        <x:f>'Forecast 12M'!C$12</x:f>
        <x:v>96.40000000000003</x:v>
      </x:c>
      <x:c r="L5" s="128" t="n">
        <x:f>'Forecast 12M'!C$27</x:f>
        <x:v>-23.112499999999997</x:v>
      </x:c>
      <x:c r="M5" s="128" t="n">
        <x:f>'Forecast 12M'!C$42</x:f>
        <x:v>-394.6125</x:v>
      </x:c>
    </x:row>
    <x:row r="6">
      <x:c r="A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B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C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D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E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F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G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H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I6" s="124"/>
      <x:c r="J6" s="124" t="str">
        <x:f>TEXT('Forecast 12M'!D$4,"mmm yy")</x:f>
        <x:v>Nov 26</x:v>
      </x:c>
      <x:c r="K6" s="128" t="n">
        <x:f>'Forecast 12M'!D$12</x:f>
        <x:v>286.80000000000007</x:v>
      </x:c>
      <x:c r="L6" s="128" t="n">
        <x:f>'Forecast 12M'!D$27</x:f>
        <x:v>105.03750000000001</x:v>
      </x:c>
      <x:c r="M6" s="128" t="n">
        <x:f>'Forecast 12M'!D$42</x:f>
        <x:v>-452.2125</x:v>
      </x:c>
    </x:row>
    <x:row r="7">
      <x:c r="A7" s="124"/>
      <x:c r="B7" s="124"/>
      <x:c r="C7" s="124"/>
      <x:c r="D7" s="124"/>
      <x:c r="E7" s="124"/>
      <x:c r="F7" s="124"/>
      <x:c r="G7" s="124"/>
      <x:c r="H7" s="124"/>
      <x:c r="I7" s="124"/>
      <x:c r="J7" s="124" t="str">
        <x:f>TEXT('Forecast 12M'!E$4,"mmm yy")</x:f>
        <x:v>Dec 26</x:v>
      </x:c>
      <x:c r="K7" s="128" t="n">
        <x:f>'Forecast 12M'!E$12</x:f>
        <x:v>572.0000000000001</x:v>
      </x:c>
      <x:c r="L7" s="128" t="n">
        <x:f>'Forecast 12M'!E$27</x:f>
        <x:v>326.32500000000005</x:v>
      </x:c>
      <x:c r="M7" s="128" t="n">
        <x:f>'Forecast 12M'!E$42</x:f>
        <x:v>-416.67499999999995</x:v>
      </x:c>
    </x:row>
    <x:row r="8">
      <x:c r="A8" s="129" t="str">
        <x:v>Lean fixed OpEx</x:v>
      </x:c>
      <x:c r="B8" s="129" t="str">
        <x:v>Lean fixed OpEx</x:v>
      </x:c>
      <x:c r="C8" s="129" t="str">
        <x:v>Contribution / paid user</x:v>
      </x:c>
      <x:c r="D8" s="129" t="str">
        <x:v>Contribution / paid user</x:v>
      </x:c>
      <x:c r="E8" s="129" t="str">
        <x:v>Break-even paid users</x:v>
      </x:c>
      <x:c r="F8" s="129" t="str">
        <x:v>Break-even paid users</x:v>
      </x:c>
      <x:c r="G8" s="129" t="str">
        <x:v>3:1 CAC ceiling</x:v>
      </x:c>
      <x:c r="H8" s="129" t="str">
        <x:v>3:1 CAC ceiling</x:v>
      </x:c>
      <x:c r="I8" s="124"/>
      <x:c r="J8" s="124" t="str">
        <x:f>TEXT('Forecast 12M'!F$4,"mmm yy")</x:f>
        <x:v>Jan 27</x:v>
      </x:c>
      <x:c r="K8" s="128" t="n">
        <x:f>'Forecast 12M'!F$12</x:f>
        <x:v>952.0000000000001</x:v>
      </x:c>
      <x:c r="L8" s="128" t="n">
        <x:f>'Forecast 12M'!F$27</x:f>
        <x:v>626.575</x:v>
      </x:c>
      <x:c r="M8" s="128" t="n">
        <x:f>'Forecast 12M'!F$42</x:f>
        <x:v>-302.17499999999995</x:v>
      </x:c>
    </x:row>
    <x:row r="9">
      <x:c r="A9" s="130" t="n">
        <x:f>'Assumptions'!B25</x:f>
        <x:v>45</x:v>
      </x:c>
      <x:c r="B9" s="131"/>
      <x:c r="C9" s="132" t="n">
        <x:f>'Unit Economics'!B11</x:f>
        <x:v>9.2875</x:v>
      </x:c>
      <x:c r="D9" s="133"/>
      <x:c r="E9" s="134" t="n">
        <x:f>'Unit Economics'!B13</x:f>
        <x:v>5</x:v>
      </x:c>
      <x:c r="F9" s="135"/>
      <x:c r="G9" s="136" t="n">
        <x:f>'Unit Economics'!B16</x:f>
        <x:v>18.575</x:v>
      </x:c>
      <x:c r="H9" s="137"/>
      <x:c r="I9" s="124"/>
      <x:c r="J9" s="124" t="str">
        <x:f>TEXT('Forecast 12M'!G$4,"mmm yy")</x:f>
        <x:v>Feb 27</x:v>
      </x:c>
      <x:c r="K9" s="128" t="n">
        <x:f>'Forecast 12M'!G$12</x:f>
        <x:v>1426.8000000000002</x:v>
      </x:c>
      <x:c r="L9" s="128" t="n">
        <x:f>'Forecast 12M'!G$27</x:f>
        <x:v>1019.7</x:v>
      </x:c>
      <x:c r="M9" s="128" t="n">
        <x:f>'Forecast 12M'!G$42</x:f>
        <x:v>-94.79999999999995</x:v>
      </x:c>
    </x:row>
    <x:row r="10">
      <x:c r="A10" s="138"/>
      <x:c r="B10" s="139"/>
      <x:c r="C10" s="140"/>
      <x:c r="D10" s="141"/>
      <x:c r="E10" s="142"/>
      <x:c r="F10" s="143"/>
      <x:c r="G10" s="144"/>
      <x:c r="H10" s="145"/>
      <x:c r="I10" s="124"/>
      <x:c r="J10" s="124" t="str">
        <x:f>TEXT('Forecast 12M'!H$4,"mmm yy")</x:f>
        <x:v>Mar 27</x:v>
      </x:c>
      <x:c r="K10" s="128" t="n">
        <x:f>'Forecast 12M'!H$12</x:f>
        <x:v>1901.6000000000004</x:v>
      </x:c>
      <x:c r="L10" s="128" t="n">
        <x:f>'Forecast 12M'!H$27</x:f>
        <x:v>1505.7</x:v>
      </x:c>
      <x:c r="M10" s="128" t="n">
        <x:f>'Forecast 12M'!H$42</x:f>
        <x:v>205.45000000000005</x:v>
      </x:c>
    </x:row>
    <x:row r="11">
      <x:c r="A11" s="124"/>
      <x:c r="B11" s="124"/>
      <x:c r="C11" s="124"/>
      <x:c r="D11" s="124"/>
      <x:c r="E11" s="124"/>
      <x:c r="F11" s="124"/>
      <x:c r="G11" s="124"/>
      <x:c r="H11" s="124"/>
      <x:c r="I11" s="124"/>
      <x:c r="J11" s="124" t="str">
        <x:f>TEXT('Forecast 12M'!I$4,"mmm yy")</x:f>
        <x:v>Apr 27</x:v>
      </x:c>
      <x:c r="K11" s="128" t="n">
        <x:f>'Forecast 12M'!I$12</x:f>
        <x:v>2376.4000000000005</x:v>
      </x:c>
      <x:c r="L11" s="128" t="n">
        <x:f>'Forecast 12M'!I$27</x:f>
        <x:v>1991.7</x:v>
      </x:c>
      <x:c r="M11" s="128" t="n">
        <x:f>'Forecast 12M'!I$42</x:f>
        <x:v>505.70000000000005</x:v>
      </x:c>
    </x:row>
    <x:row r="12">
      <x:c r="A12" s="124"/>
      <x:c r="B12" s="124"/>
      <x:c r="C12" s="124"/>
      <x:c r="D12" s="124"/>
      <x:c r="E12" s="124"/>
      <x:c r="F12" s="124"/>
      <x:c r="G12" s="124"/>
      <x:c r="H12" s="124"/>
      <x:c r="I12" s="124"/>
      <x:c r="J12" s="124" t="str">
        <x:f>TEXT('Forecast 12M'!J$4,"mmm yy")</x:f>
        <x:v>May 27</x:v>
      </x:c>
      <x:c r="K12" s="128" t="n">
        <x:f>'Forecast 12M'!J$12</x:f>
        <x:v>2851.2000000000007</x:v>
      </x:c>
      <x:c r="L12" s="128" t="n">
        <x:f>'Forecast 12M'!J$27</x:f>
        <x:v>2477.7</x:v>
      </x:c>
      <x:c r="M12" s="128" t="n">
        <x:f>'Forecast 12M'!J$42</x:f>
        <x:v>805.95</x:v>
      </x:c>
    </x:row>
    <x:row r="13" ht="22" customHeight="1">
      <x:c r="A13" s="146" t="str">
        <x:v>Old versus current — what changed</x:v>
      </x:c>
      <x:c r="B13" s="146" t="str">
        <x:v>Old versus current — what changed</x:v>
      </x:c>
      <x:c r="C13" s="146" t="str">
        <x:v>Old versus current — what changed</x:v>
      </x:c>
      <x:c r="D13" s="146" t="str">
        <x:v>Old versus current — what changed</x:v>
      </x:c>
      <x:c r="E13" s="146" t="str">
        <x:v>Old versus current — what changed</x:v>
      </x:c>
      <x:c r="F13" s="146" t="str">
        <x:v>Old versus current — what changed</x:v>
      </x:c>
      <x:c r="G13" s="146" t="str">
        <x:v>Old versus current — what changed</x:v>
      </x:c>
      <x:c r="H13" s="146" t="str">
        <x:v>Old versus current — what changed</x:v>
      </x:c>
      <x:c r="I13" s="124"/>
      <x:c r="J13" s="124" t="str">
        <x:f>TEXT('Forecast 12M'!K$4,"mmm yy")</x:f>
        <x:v>Jun 27</x:v>
      </x:c>
      <x:c r="K13" s="128" t="n">
        <x:f>'Forecast 12M'!K$12</x:f>
        <x:v>3326.000000000001</x:v>
      </x:c>
      <x:c r="L13" s="128" t="n">
        <x:f>'Forecast 12M'!K$27</x:f>
        <x:v>2963.7</x:v>
      </x:c>
      <x:c r="M13" s="128" t="n">
        <x:f>'Forecast 12M'!K$42</x:f>
        <x:v>1106.2</x:v>
      </x:c>
    </x:row>
    <x:row r="14" ht="26" customHeight="1">
      <x:c r="A14" s="126" t="str">
        <x:v>Metric</x:v>
      </x:c>
      <x:c r="B14" s="126" t="str">
        <x:v>Feb 23 model</x:v>
      </x:c>
      <x:c r="C14" s="126" t="str">
        <x:v>Current lean</x:v>
      </x:c>
      <x:c r="D14" s="126" t="str">
        <x:v>Current monitored</x:v>
      </x:c>
      <x:c r="E14" s="126" t="str">
        <x:v>Delta vs Feb 23</x:v>
      </x:c>
      <x:c r="F14" s="126" t="str">
        <x:v>Still holds?</x:v>
      </x:c>
      <x:c r="G14" s="126" t="str">
        <x:v>Why</x:v>
      </x:c>
      <x:c r="H14" s="126" t="str">
        <x:v>Management action</x:v>
      </x:c>
      <x:c r="I14" s="124"/>
      <x:c r="J14" s="124" t="str">
        <x:f>TEXT('Forecast 12M'!L$4,"mmm yy")</x:f>
        <x:v>Jul 27</x:v>
      </x:c>
      <x:c r="K14" s="128" t="n">
        <x:f>'Forecast 12M'!L$12</x:f>
        <x:v>3800.800000000001</x:v>
      </x:c>
      <x:c r="L14" s="128" t="n">
        <x:f>'Forecast 12M'!L$27</x:f>
        <x:v>3449.7</x:v>
      </x:c>
      <x:c r="M14" s="128" t="n">
        <x:f>'Forecast 12M'!L$42</x:f>
        <x:v>1406.45</x:v>
      </x:c>
    </x:row>
    <x:row r="15">
      <x:c r="A15" s="147" t="str">
        <x:v>Monthly price</x:v>
      </x:c>
      <x:c r="B15" s="148" t="n">
        <x:v>14.99</x:v>
      </x:c>
      <x:c r="C15" s="148" t="n">
        <x:f>'Assumptions'!B13</x:f>
        <x:v>10</x:v>
      </x:c>
      <x:c r="D15" s="148" t="n">
        <x:f>'Assumptions'!B13</x:f>
        <x:v>10</x:v>
      </x:c>
      <x:c r="E15" s="148" t="n">
        <x:f>C15-B15</x:f>
        <x:v>-4.99</x:v>
      </x:c>
      <x:c r="F15" s="147" t="str">
        <x:v>Changed</x:v>
      </x:c>
      <x:c r="G15" s="147" t="str">
        <x:v>Current posture is $10 after trial</x:v>
      </x:c>
      <x:c r="H15" s="147" t="str">
        <x:v>Validate willingness to pay after product truth fixes</x:v>
      </x:c>
      <x:c r="I15" s="124"/>
      <x:c r="J15" s="124" t="str">
        <x:f>TEXT('Forecast 12M'!M$4,"mmm yy")</x:f>
        <x:v>Aug 27</x:v>
      </x:c>
      <x:c r="K15" s="128" t="n">
        <x:f>'Forecast 12M'!M$12</x:f>
        <x:v>4275.600000000001</x:v>
      </x:c>
      <x:c r="L15" s="128" t="n">
        <x:f>'Forecast 12M'!M$27</x:f>
        <x:v>3935.7</x:v>
      </x:c>
      <x:c r="M15" s="128" t="n">
        <x:f>'Forecast 12M'!M$42</x:f>
        <x:v>1706.7</x:v>
      </x:c>
    </x:row>
    <x:row r="16">
      <x:c r="A16" s="149" t="str">
        <x:v>Fixed software OpEx</x:v>
      </x:c>
      <x:c r="B16" s="150" t="n">
        <x:v>94</x:v>
      </x:c>
      <x:c r="C16" s="150" t="n">
        <x:f>'Assumptions'!B25</x:f>
        <x:v>45</x:v>
      </x:c>
      <x:c r="D16" s="150" t="n">
        <x:f>'Assumptions'!B26</x:f>
        <x:v>71</x:v>
      </x:c>
      <x:c r="E16" s="150" t="n">
        <x:f>C16-B16</x:f>
        <x:v>-49</x:v>
      </x:c>
      <x:c r="F16" s="149" t="str">
        <x:v>Improved</x:v>
      </x:c>
      <x:c r="G16" s="149" t="str">
        <x:v>Lean stack is materially smaller</x:v>
      </x:c>
      <x:c r="H16" s="149" t="str">
        <x:v>Hold lean until monitoring volume requires Team</x:v>
      </x:c>
      <x:c r="I16" s="124"/>
      <x:c r="J16" s="124"/>
      <x:c r="K16" s="124"/>
      <x:c r="L16" s="124"/>
      <x:c r="M16" s="124"/>
    </x:row>
    <x:row r="17">
      <x:c r="A17" s="149" t="str">
        <x:v>Variable cost / paid user</x:v>
      </x:c>
      <x:c r="B17" s="150" t="n">
        <x:v>5.51</x:v>
      </x:c>
      <x:c r="C17" s="150" t="n">
        <x:f>'Assumptions'!B13-'Unit Economics'!B11</x:f>
        <x:v>0.7125000000000004</x:v>
      </x:c>
      <x:c r="D17" s="150" t="n">
        <x:f>'Assumptions'!B13-'Unit Economics'!B11</x:f>
        <x:v>0.7125000000000004</x:v>
      </x:c>
      <x:c r="E17" s="150" t="n">
        <x:f>C17-B17</x:f>
        <x:v>-4.797499999999999</x:v>
      </x:c>
      <x:c r="F17" s="149" t="str">
        <x:v>Improved</x:v>
      </x:c>
      <x:c r="G17" s="149" t="str">
        <x:v>AssemblyAI removed; private STT is on-device</x:v>
      </x:c>
      <x:c r="H17" s="149" t="str">
        <x:v>Watch model egress, not cloud STT hours</x:v>
      </x:c>
      <x:c r="I17" s="124"/>
      <x:c r="J17" s="124"/>
      <x:c r="K17" s="124"/>
      <x:c r="L17" s="124"/>
      <x:c r="M17" s="124"/>
    </x:row>
    <x:row r="18">
      <x:c r="A18" s="149" t="str">
        <x:v>Contribution / paid user</x:v>
      </x:c>
      <x:c r="B18" s="150" t="n">
        <x:v>9.48</x:v>
      </x:c>
      <x:c r="C18" s="150" t="n">
        <x:f>'Unit Economics'!B11</x:f>
        <x:v>9.2875</x:v>
      </x:c>
      <x:c r="D18" s="150" t="n">
        <x:f>'Unit Economics'!B11</x:f>
        <x:v>9.2875</x:v>
      </x:c>
      <x:c r="E18" s="150" t="n">
        <x:f>C18-B18</x:f>
        <x:v>-0.19250000000000078</x:v>
      </x:c>
      <x:c r="F18" s="149" t="str">
        <x:v>Mostly holds</x:v>
      </x:c>
      <x:c r="G18" s="149" t="str">
        <x:v>Lower price offset by lower variable cost</x:v>
      </x:c>
      <x:c r="H18" s="149" t="str">
        <x:v>Use $9.29 for planning</x:v>
      </x:c>
      <x:c r="I18" s="124"/>
      <x:c r="J18" s="124"/>
      <x:c r="K18" s="124"/>
      <x:c r="L18" s="124"/>
      <x:c r="M18" s="124"/>
    </x:row>
    <x:row r="19">
      <x:c r="A19" s="149" t="str">
        <x:v>6-month contribution LTV</x:v>
      </x:c>
      <x:c r="B19" s="150" t="n">
        <x:v>56.88</x:v>
      </x:c>
      <x:c r="C19" s="150" t="n">
        <x:f>'Unit Economics'!B15</x:f>
        <x:v>55.724999999999994</x:v>
      </x:c>
      <x:c r="D19" s="150" t="n">
        <x:f>'Unit Economics'!B15</x:f>
        <x:v>55.724999999999994</x:v>
      </x:c>
      <x:c r="E19" s="150" t="n">
        <x:f>C19-B19</x:f>
        <x:v>-1.1550000000000082</x:v>
      </x:c>
      <x:c r="F19" s="149" t="str">
        <x:v>Corrected</x:v>
      </x:c>
      <x:c r="G19" s="149" t="str">
        <x:v>Prior $85 claim did not tie</x:v>
      </x:c>
      <x:c r="H19" s="149" t="str">
        <x:v>Use formula-based LTV only</x:v>
      </x:c>
      <x:c r="I19" s="124"/>
      <x:c r="J19" s="124"/>
      <x:c r="K19" s="124"/>
      <x:c r="L19" s="124"/>
      <x:c r="M19" s="124"/>
    </x:row>
    <x:row r="20">
      <x:c r="A20" s="149" t="str">
        <x:v>3:1 CAC ceiling</x:v>
      </x:c>
      <x:c r="B20" s="150" t="n">
        <x:v>18.96</x:v>
      </x:c>
      <x:c r="C20" s="150" t="n">
        <x:f>'Unit Economics'!B16</x:f>
        <x:v>18.575</x:v>
      </x:c>
      <x:c r="D20" s="150" t="n">
        <x:f>'Unit Economics'!B16</x:f>
        <x:v>18.575</x:v>
      </x:c>
      <x:c r="E20" s="150" t="n">
        <x:f>C20-B20</x:f>
        <x:v>-0.38500000000000156</x:v>
      </x:c>
      <x:c r="F20" s="149" t="str">
        <x:v>Mostly holds</x:v>
      </x:c>
      <x:c r="G20" s="149" t="str">
        <x:v>Corrected LTV implies about $19, not $28</x:v>
      </x:c>
      <x:c r="H20" s="149" t="str">
        <x:v>Do not buy growth above model ceiling</x:v>
      </x:c>
      <x:c r="I20" s="124"/>
      <x:c r="J20" s="124"/>
      <x:c r="K20" s="124"/>
      <x:c r="L20" s="124"/>
      <x:c r="M20" s="124"/>
    </x:row>
    <x:row r="21">
      <x:c r="A21" s="151" t="str">
        <x:v>Break-even active paid users</x:v>
      </x:c>
      <x:c r="B21" s="152" t="n">
        <x:v>10</x:v>
      </x:c>
      <x:c r="C21" s="152" t="n">
        <x:f>'Unit Economics'!B13</x:f>
        <x:v>5</x:v>
      </x:c>
      <x:c r="D21" s="152" t="n">
        <x:f>'Unit Economics'!B14</x:f>
        <x:v>8</x:v>
      </x:c>
      <x:c r="E21" s="152" t="n">
        <x:f>C21-B21</x:f>
        <x:v>-5</x:v>
      </x:c>
      <x:c r="F21" s="151" t="str">
        <x:v>Improved</x:v>
      </x:c>
      <x:c r="G21" s="151" t="str">
        <x:v>Lower fixed OpEx</x:v>
      </x:c>
      <x:c r="H21" s="151" t="str">
        <x:v>Lean target is five active paid users</x:v>
      </x:c>
      <x:c r="I21" s="124"/>
      <x:c r="J21" s="124"/>
      <x:c r="K21" s="124"/>
      <x:c r="L21" s="124"/>
      <x:c r="M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  <x:c r="I22" s="124"/>
      <x:c r="J22" s="124"/>
      <x:c r="K22" s="124"/>
      <x:c r="L22" s="124"/>
      <x:c r="M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  <x:c r="I23" s="124"/>
      <x:c r="J23" s="124"/>
      <x:c r="K23" s="124"/>
      <x:c r="L23" s="124"/>
      <x:c r="M23" s="124"/>
    </x:row>
    <x:row r="24" ht="22" customHeight="1">
      <x:c r="A24" s="146" t="str">
        <x:v>Profitability timing under the preserved ramp</x:v>
      </x:c>
      <x:c r="B24" s="146" t="str">
        <x:v>Profitability timing under the preserved ramp</x:v>
      </x:c>
      <x:c r="C24" s="146" t="str">
        <x:v>Profitability timing under the preserved ramp</x:v>
      </x:c>
      <x:c r="D24" s="146" t="str">
        <x:v>Profitability timing under the preserved ramp</x:v>
      </x:c>
      <x:c r="E24" s="146" t="str">
        <x:v>Profitability timing under the preserved ramp</x:v>
      </x:c>
      <x:c r="F24" s="146" t="str">
        <x:v>Profitability timing under the preserved ramp</x:v>
      </x:c>
      <x:c r="G24" s="146" t="str">
        <x:v>Profitability timing under the preserved ramp</x:v>
      </x:c>
      <x:c r="H24" s="146" t="str">
        <x:v>Profitability timing under the preserved ramp</x:v>
      </x:c>
      <x:c r="I24" s="124"/>
      <x:c r="J24" s="124"/>
      <x:c r="K24" s="124"/>
      <x:c r="L24" s="124"/>
      <x:c r="M24" s="124"/>
    </x:row>
    <x:row r="25" ht="26" customHeight="1">
      <x:c r="A25" s="126" t="str">
        <x:v>Scenario</x:v>
      </x:c>
      <x:c r="B25" s="126" t="str">
        <x:v>First monthly profit</x:v>
      </x:c>
      <x:c r="C25" s="126" t="str">
        <x:v>Cumulative cash ≥ $0</x:v>
      </x:c>
      <x:c r="D25" s="126" t="str">
        <x:v>What is included</x:v>
      </x:c>
      <x:c r="E25" s="124"/>
      <x:c r="F25" s="153" t="str">
        <x:v>Targets to chase
• 500 new trials per month
• ≥2% trial-to-paid conversion
• ≥6-month paid lifetime
• CAC ≤ $18.58
• Lean stack until monitoring justifies the upgrade</x:v>
      </x:c>
      <x:c r="G25" s="153" t="str">
        <x:v>Targets to chase
• 500 new trials per month
• ≥2% trial-to-paid conversion
• ≥6-month paid lifetime
• CAC ≤ $18.58
• Lean stack until monitoring justifies the upgrade</x:v>
      </x:c>
      <x:c r="H25" s="153" t="str">
        <x:v>Targets to chase
• 500 new trials per month
• ≥2% trial-to-paid conversion
• ≥6-month paid lifetime
• CAC ≤ $18.58
• Lean stack until monitoring justifies the upgrade</x:v>
      </x:c>
      <x:c r="I25" s="124"/>
      <x:c r="J25" s="124"/>
      <x:c r="K25" s="124"/>
      <x:c r="L25" s="124"/>
      <x:c r="M25" s="124"/>
    </x:row>
    <x:row r="26">
      <x:c r="A26" s="147" t="str">
        <x:v>Historical Feb 23</x:v>
      </x:c>
      <x:c r="B26" s="147" t="str">
        <x:v>Month 1</x:v>
      </x:c>
      <x:c r="C26" s="147" t="str">
        <x:v>Month 1</x:v>
      </x:c>
      <x:c r="D26" s="147" t="str">
        <x:v>No trial delay; no acquisition spend</x:v>
      </x:c>
      <x:c r="E26" s="124"/>
      <x:c r="F26" s="153" t="str">
        <x:v>Targets to chase
• 500 new trials per month
• ≥2% trial-to-paid conversion
• ≥6-month paid lifetime
• CAC ≤ $18.58
• Lean stack until monitoring justifies the upgrade</x:v>
      </x:c>
      <x:c r="G26" s="153" t="str">
        <x:v>Targets to chase
• 500 new trials per month
• ≥2% trial-to-paid conversion
• ≥6-month paid lifetime
• CAC ≤ $18.58
• Lean stack until monitoring justifies the upgrade</x:v>
      </x:c>
      <x:c r="H26" s="153" t="str">
        <x:v>Targets to chase
• 500 new trials per month
• ≥2% trial-to-paid conversion
• ≥6-month paid lifetime
• CAC ≤ $18.58
• Lean stack until monitoring justifies the upgrade</x:v>
      </x:c>
      <x:c r="I26" s="124"/>
      <x:c r="J26" s="124"/>
      <x:c r="K26" s="124"/>
      <x:c r="L26" s="124"/>
      <x:c r="M26" s="124"/>
    </x:row>
    <x:row r="27">
      <x:c r="A27" s="149" t="str">
        <x:v>Current organic</x:v>
      </x:c>
      <x:c r="B27" s="149" t="str">
        <x:f>"Month "&amp;MATCH("Yes",'Forecast 12M'!B28:M28,0)</x:f>
        <x:v>Month 2</x:v>
      </x:c>
      <x:c r="C27" s="149" t="str">
        <x:f>"Month "&amp;MATCH("Yes",'Forecast 12M'!B29:M29,0)</x:f>
        <x:v>Month 3</x:v>
      </x:c>
      <x:c r="D27" s="149" t="str">
        <x:v>30-day trial; trial + paid coaching cost; lean stack; no paid CAC</x:v>
      </x:c>
      <x:c r="E27" s="124"/>
      <x:c r="F27" s="153" t="str">
        <x:v>Targets to chase
• 500 new trials per month
• ≥2% trial-to-paid conversion
• ≥6-month paid lifetime
• CAC ≤ $18.58
• Lean stack until monitoring justifies the upgrade</x:v>
      </x:c>
      <x:c r="G27" s="153" t="str">
        <x:v>Targets to chase
• 500 new trials per month
• ≥2% trial-to-paid conversion
• ≥6-month paid lifetime
• CAC ≤ $18.58
• Lean stack until monitoring justifies the upgrade</x:v>
      </x:c>
      <x:c r="H27" s="153" t="str">
        <x:v>Targets to chase
• 500 new trials per month
• ≥2% trial-to-paid conversion
• ≥6-month paid lifetime
• CAC ≤ $18.58
• Lean stack until monitoring justifies the upgrade</x:v>
      </x:c>
      <x:c r="I27" s="124"/>
      <x:c r="J27" s="124"/>
      <x:c r="K27" s="124"/>
      <x:c r="L27" s="124"/>
      <x:c r="M27" s="124"/>
    </x:row>
    <x:row r="28">
      <x:c r="A28" s="151" t="str">
        <x:v>Current paid acquisition</x:v>
      </x:c>
      <x:c r="B28" s="151" t="str">
        <x:f>"Month "&amp;MATCH("Yes",'Forecast 12M'!B43:M43,0)</x:f>
        <x:v>Month 4</x:v>
      </x:c>
      <x:c r="C28" s="151" t="str">
        <x:f>"Month "&amp;MATCH("Yes",'Forecast 12M'!B44:M44,0)</x:f>
        <x:v>Month 7</x:v>
      </x:c>
      <x:c r="D28" s="151" t="str">
        <x:v>30-day trial; trial + paid coaching cost; lean stack; spend at 3:1 CAC ceiling</x:v>
      </x:c>
      <x:c r="E28" s="124"/>
      <x:c r="F28" s="153" t="str">
        <x:v>Targets to chase
• 500 new trials per month
• ≥2% trial-to-paid conversion
• ≥6-month paid lifetime
• CAC ≤ $18.58
• Lean stack until monitoring justifies the upgrade</x:v>
      </x:c>
      <x:c r="G28" s="153" t="str">
        <x:v>Targets to chase
• 500 new trials per month
• ≥2% trial-to-paid conversion
• ≥6-month paid lifetime
• CAC ≤ $18.58
• Lean stack until monitoring justifies the upgrade</x:v>
      </x:c>
      <x:c r="H28" s="153" t="str">
        <x:v>Targets to chase
• 500 new trials per month
• ≥2% trial-to-paid conversion
• ≥6-month paid lifetime
• CAC ≤ $18.58
• Lean stack until monitoring justifies the upgrade</x:v>
      </x:c>
      <x:c r="I28" s="124"/>
      <x:c r="J28" s="124"/>
      <x:c r="K28" s="124"/>
      <x:c r="L28" s="124"/>
      <x:c r="M28" s="124"/>
    </x:row>
    <x:row r="29">
      <x:c r="A29" s="124"/>
      <x:c r="B29" s="124"/>
      <x:c r="C29" s="124"/>
      <x:c r="D29" s="124"/>
      <x:c r="E29" s="124"/>
      <x:c r="F29" s="124"/>
      <x:c r="G29" s="124"/>
      <x:c r="H29" s="124"/>
      <x:c r="I29" s="124"/>
      <x:c r="J29" s="124"/>
      <x:c r="K29" s="124"/>
      <x:c r="L29" s="124"/>
      <x:c r="M29" s="124"/>
    </x:row>
    <x:row r="30">
      <x:c r="A30" s="124"/>
      <x:c r="B30" s="124"/>
      <x:c r="C30" s="124"/>
      <x:c r="D30" s="124"/>
      <x:c r="E30" s="124"/>
      <x:c r="F30" s="124"/>
      <x:c r="G30" s="124"/>
      <x:c r="H30" s="124"/>
      <x:c r="I30" s="124"/>
      <x:c r="J30" s="124"/>
      <x:c r="K30" s="124"/>
      <x:c r="L30" s="124"/>
      <x:c r="M30" s="124"/>
    </x:row>
    <x:row r="31">
      <x:c r="A31" s="124"/>
      <x:c r="B31" s="124"/>
      <x:c r="C31" s="124"/>
      <x:c r="D31" s="124"/>
      <x:c r="E31" s="124"/>
      <x:c r="F31" s="124"/>
      <x:c r="G31" s="124"/>
      <x:c r="H31" s="124"/>
      <x:c r="I31" s="124"/>
      <x:c r="J31" s="124"/>
      <x:c r="K31" s="124"/>
      <x:c r="L31" s="124"/>
      <x:c r="M31" s="124"/>
    </x:row>
    <x:row r="32">
      <x:c r="A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B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C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D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E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F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G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H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I32" s="124"/>
      <x:c r="J32" s="124"/>
      <x:c r="K32" s="124"/>
      <x:c r="L32" s="124"/>
      <x:c r="M32" s="124"/>
    </x:row>
    <x:row r="33">
      <x:c r="A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B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C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D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E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F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G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H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I33" s="124"/>
      <x:c r="J33" s="124"/>
      <x:c r="K33" s="124"/>
      <x:c r="L33" s="124"/>
      <x:c r="M33" s="124"/>
    </x:row>
    <x:row r="34">
      <x:c r="A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B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C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D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E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F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G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H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I34" s="124"/>
      <x:c r="J34" s="124"/>
      <x:c r="K34" s="124"/>
      <x:c r="L34" s="124"/>
      <x:c r="M34" s="124"/>
    </x:row>
  </x:sheetData>
  <x:mergeCells>
    <x:mergeCell ref="A1:H1"/>
    <x:mergeCell ref="A2:H3"/>
    <x:mergeCell ref="A4:H6"/>
    <x:mergeCell ref="A8:B8"/>
    <x:mergeCell ref="A9:B10"/>
    <x:mergeCell ref="C8:D8"/>
    <x:mergeCell ref="C9:D10"/>
    <x:mergeCell ref="E8:F8"/>
    <x:mergeCell ref="E9:F10"/>
    <x:mergeCell ref="G8:H8"/>
    <x:mergeCell ref="G9:H10"/>
    <x:mergeCell ref="A13:H13"/>
    <x:mergeCell ref="A24:H24"/>
    <x:mergeCell ref="F25:H28"/>
    <x:mergeCell ref="A32:H34"/>
  </x:mergeCells>
  <x:pageMargins left="0.7" right="0.7" top="0.75" bottom="0.75" header="0.3" footer="0.3"/>
  <x:drawing xmlns:r="http://schemas.openxmlformats.org/officeDocument/2006/relationships" r:id="R2faf91e73e5c497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7" hidden="0" customWidth="1"/>
    <x:col min="5" max="5" width="45" hidden="0" customWidth="1"/>
    <x:col min="6" max="6" width="35" hidden="0" customWidth="1"/>
  </x:cols>
  <x:sheetData>
    <x:row r="1" ht="34" customHeight="1">
      <x:c r="A1" s="123" t="str">
        <x:v>SpeakSharp financial model — assumptions</x:v>
      </x:c>
      <x:c r="B1" s="123" t="str">
        <x:v>SpeakSharp financial model — assumptions</x:v>
      </x:c>
      <x:c r="C1" s="123" t="str">
        <x:v>SpeakSharp financial model — assumptions</x:v>
      </x:c>
      <x:c r="D1" s="123" t="str">
        <x:v>SpeakSharp financial model — assumptions</x:v>
      </x:c>
      <x:c r="E1" s="123" t="str">
        <x:v>SpeakSharp financial model — assumptions</x:v>
      </x:c>
      <x:c r="F1" s="123" t="str">
        <x:v>SpeakSharp financial model — assumptions</x:v>
      </x:c>
    </x:row>
    <x:row r="2" ht="32" customHeight="1">
      <x:c r="A2" s="125" t="str">
        <x:v>Yellow cells are editable assumptions. Blue cells are formulas. Forecast, not a promise; taxes, founder compensation and one-time legal/accounting costs are excluded.</x:v>
      </x:c>
      <x:c r="B2" s="125" t="str">
        <x:v>Yellow cells are editable assumptions. Blue cells are formulas. Forecast, not a promise; taxes, founder compensation and one-time legal/accounting costs are excluded.</x:v>
      </x:c>
      <x:c r="C2" s="125" t="str">
        <x:v>Yellow cells are editable assumptions. Blue cells are formulas. Forecast, not a promise; taxes, founder compensation and one-time legal/accounting costs are excluded.</x:v>
      </x:c>
      <x:c r="D2" s="125" t="str">
        <x:v>Yellow cells are editable assumptions. Blue cells are formulas. Forecast, not a promise; taxes, founder compensation and one-time legal/accounting costs are excluded.</x:v>
      </x:c>
      <x:c r="E2" s="125" t="str">
        <x:v>Yellow cells are editable assumptions. Blue cells are formulas. Forecast, not a promise; taxes, founder compensation and one-time legal/accounting costs are excluded.</x:v>
      </x:c>
      <x:c r="F2" s="125" t="str">
        <x:v>Yellow cells are editable assumptions. Blue cells are formulas. Forecast, not a promise; taxes, founder compensation and one-time legal/accounting costs are excluded.</x:v>
      </x:c>
    </x:row>
    <x:row r="3" ht="32" customHeight="1">
      <x:c r="A3" s="125" t="str">
        <x:v>Yellow cells are editable assumptions. Blue cells are formulas. Forecast, not a promise; taxes, founder compensation and one-time legal/accounting costs are excluded.</x:v>
      </x:c>
      <x:c r="B3" s="125" t="str">
        <x:v>Yellow cells are editable assumptions. Blue cells are formulas. Forecast, not a promise; taxes, founder compensation and one-time legal/accounting costs are excluded.</x:v>
      </x:c>
      <x:c r="C3" s="125" t="str">
        <x:v>Yellow cells are editable assumptions. Blue cells are formulas. Forecast, not a promise; taxes, founder compensation and one-time legal/accounting costs are excluded.</x:v>
      </x:c>
      <x:c r="D3" s="125" t="str">
        <x:v>Yellow cells are editable assumptions. Blue cells are formulas. Forecast, not a promise; taxes, founder compensation and one-time legal/accounting costs are excluded.</x:v>
      </x:c>
      <x:c r="E3" s="125" t="str">
        <x:v>Yellow cells are editable assumptions. Blue cells are formulas. Forecast, not a promise; taxes, founder compensation and one-time legal/accounting costs are excluded.</x:v>
      </x:c>
      <x:c r="F3" s="125" t="str">
        <x:v>Yellow cells are editable assumptions. Blue cells are formulas. Forecast, not a promise; taxes, founder compensation and one-time legal/accounting costs are excluded.</x:v>
      </x:c>
    </x:row>
    <x:row r="4" ht="22" customHeight="1">
      <x:c r="A4" s="146" t="str">
        <x:v>Current operating model</x:v>
      </x:c>
      <x:c r="B4" s="146" t="str">
        <x:v>Current operating model</x:v>
      </x:c>
      <x:c r="C4" s="146" t="str">
        <x:v>Current operating model</x:v>
      </x:c>
      <x:c r="D4" s="146" t="str">
        <x:v>Current operating model</x:v>
      </x:c>
      <x:c r="E4" s="146" t="str">
        <x:v>Current operating model</x:v>
      </x:c>
      <x:c r="F4" s="146" t="str">
        <x:v>Current operating model</x:v>
      </x:c>
    </x:row>
    <x:row r="5" ht="26" customHeight="1">
      <x:c r="A5" s="126" t="str">
        <x:v>Driver</x:v>
      </x:c>
      <x:c r="B5" s="126" t="str">
        <x:v>Value</x:v>
      </x:c>
      <x:c r="C5" s="126" t="str">
        <x:v>Units</x:v>
      </x:c>
      <x:c r="D5" s="126" t="str">
        <x:v>Type</x:v>
      </x:c>
      <x:c r="E5" s="126" t="str">
        <x:v>Source / rationale</x:v>
      </x:c>
      <x:c r="F5" s="126" t="str">
        <x:v>Owner note</x:v>
      </x:c>
    </x:row>
    <x:row r="6">
      <x:c r="A6" s="147" t="str">
        <x:v>Forecast start</x:v>
      </x:c>
      <x:c r="B6" s="155" t="n">
        <x:v>46266</x:v>
      </x:c>
      <x:c r="C6" s="147" t="str">
        <x:v>month</x:v>
      </x:c>
      <x:c r="D6" s="147" t="str">
        <x:v>Input</x:v>
      </x:c>
      <x:c r="E6" s="147" t="str">
        <x:v>Current planning date</x:v>
      </x:c>
      <x:c r="F6" s="147" t="str">
        <x:v>Change to refresh timeline</x:v>
      </x:c>
    </x:row>
    <x:row r="7">
      <x:c r="A7" s="149" t="str">
        <x:v>Forecast months</x:v>
      </x:c>
      <x:c r="B7" s="156" t="n">
        <x:v>12</x:v>
      </x:c>
      <x:c r="C7" s="149" t="str">
        <x:v>months</x:v>
      </x:c>
      <x:c r="D7" s="149" t="str">
        <x:v>Input</x:v>
      </x:c>
      <x:c r="E7" s="149" t="str">
        <x:v>Management horizon</x:v>
      </x:c>
      <x:c r="F7" s="149" t="str">
        <x:v>12-month base model</x:v>
      </x:c>
    </x:row>
    <x:row r="8">
      <x:c r="A8" s="149" t="str">
        <x:v>Trial-to-paid conversion</x:v>
      </x:c>
      <x:c r="B8" s="157" t="n">
        <x:v>0.02</x:v>
      </x:c>
      <x:c r="C8" s="149" t="str">
        <x:v>%</x:v>
      </x:c>
      <x:c r="D8" s="149" t="str">
        <x:v>Input</x:v>
      </x:c>
      <x:c r="E8" s="149" t="str">
        <x:v>Preserved from prior models</x:v>
      </x:c>
      <x:c r="F8" s="149" t="str">
        <x:v>Target to validate</x:v>
      </x:c>
    </x:row>
    <x:row r="9">
      <x:c r="A9" s="149" t="str">
        <x:v>New trial users / month</x:v>
      </x:c>
      <x:c r="B9" s="156" t="n">
        <x:v>500</x:v>
      </x:c>
      <x:c r="C9" s="149" t="str">
        <x:v>users</x:v>
      </x:c>
      <x:c r="D9" s="149" t="str">
        <x:v>Input</x:v>
      </x:c>
      <x:c r="E9" s="149" t="str">
        <x:v>Implies 10 new paid/month at 2%</x:v>
      </x:c>
      <x:c r="F9" s="149" t="str">
        <x:v>Same ramp as prior</x:v>
      </x:c>
    </x:row>
    <x:row r="10">
      <x:c r="A10" s="149" t="str">
        <x:v>New paid users / month</x:v>
      </x:c>
      <x:c r="B10" s="158" t="n">
        <x:f>B8*B9</x:f>
        <x:v>10</x:v>
      </x:c>
      <x:c r="C10" s="149" t="str">
        <x:v>users</x:v>
      </x:c>
      <x:c r="D10" s="149" t="str">
        <x:v>Formula</x:v>
      </x:c>
      <x:c r="E10" s="149" t="str">
        <x:v>Conversion × new trials</x:v>
      </x:c>
      <x:c r="F10" s="149" t="str">
        <x:v>Derived</x:v>
      </x:c>
    </x:row>
    <x:row r="11">
      <x:c r="A11" s="149" t="str">
        <x:v>Paid lifetime</x:v>
      </x:c>
      <x:c r="B11" s="156" t="n">
        <x:v>6</x:v>
      </x:c>
      <x:c r="C11" s="149" t="str">
        <x:v>months</x:v>
      </x:c>
      <x:c r="D11" s="149" t="str">
        <x:v>Input</x:v>
      </x:c>
      <x:c r="E11" s="149" t="str">
        <x:v>Preserved from prior models</x:v>
      </x:c>
      <x:c r="F11" s="149" t="str">
        <x:v>Cohort expires after month 6</x:v>
      </x:c>
    </x:row>
    <x:row r="12">
      <x:c r="A12" s="149" t="str">
        <x:v>Free trial delay</x:v>
      </x:c>
      <x:c r="B12" s="156" t="n">
        <x:v>1</x:v>
      </x:c>
      <x:c r="C12" s="149" t="str">
        <x:v>months</x:v>
      </x:c>
      <x:c r="D12" s="149" t="str">
        <x:v>Input</x:v>
      </x:c>
      <x:c r="E12" s="149" t="str">
        <x:v>Current product: 30-day complete trial</x:v>
      </x:c>
      <x:c r="F12" s="149" t="str">
        <x:v>Creates one-month cash delay</x:v>
      </x:c>
    </x:row>
    <x:row r="13">
      <x:c r="A13" s="149" t="str">
        <x:v>Monthly price</x:v>
      </x:c>
      <x:c r="B13" s="159" t="n">
        <x:v>10</x:v>
      </x:c>
      <x:c r="C13" s="149" t="str">
        <x:v>USD / paid user</x:v>
      </x:c>
      <x:c r="D13" s="149" t="str">
        <x:v>Input</x:v>
      </x:c>
      <x:c r="E13" s="149" t="str">
        <x:v>Current product posture</x:v>
      </x:c>
      <x:c r="F13" s="149" t="str">
        <x:v>Billing not yet activated</x:v>
      </x:c>
    </x:row>
    <x:row r="14">
      <x:c r="A14" s="149" t="str">
        <x:v>AI generations / active trial or paid user / month</x:v>
      </x:c>
      <x:c r="B14" s="156" t="n">
        <x:v>10</x:v>
      </x:c>
      <x:c r="C14" s="149" t="str">
        <x:v>calls</x:v>
      </x:c>
      <x:c r="D14" s="149" t="str">
        <x:v>Input</x:v>
      </x:c>
      <x:c r="E14" s="149" t="str">
        <x:v>Editable usage assumption</x:v>
      </x:c>
      <x:c r="F14" s="149" t="str">
        <x:v>Editable planning assumption; trial and paid capabilities are equal</x:v>
      </x:c>
    </x:row>
    <x:row r="15">
      <x:c r="A15" s="149" t="str">
        <x:v>Input tokens / AI call</x:v>
      </x:c>
      <x:c r="B15" s="156" t="n">
        <x:v>2500</x:v>
      </x:c>
      <x:c r="C15" s="149" t="str">
        <x:v>tokens</x:v>
      </x:c>
      <x:c r="D15" s="149" t="str">
        <x:v>Input</x:v>
      </x:c>
      <x:c r="E15" s="149" t="str">
        <x:v>Approx. 8,000-char transcript plus prompt</x:v>
      </x:c>
      <x:c r="F15" s="149" t="str">
        <x:v>Editable</x:v>
      </x:c>
    </x:row>
    <x:row r="16">
      <x:c r="A16" s="149" t="str">
        <x:v>Output tokens / AI call</x:v>
      </x:c>
      <x:c r="B16" s="156" t="n">
        <x:v>200</x:v>
      </x:c>
      <x:c r="C16" s="149" t="str">
        <x:v>tokens</x:v>
      </x:c>
      <x:c r="D16" s="149" t="str">
        <x:v>Input</x:v>
      </x:c>
      <x:c r="E16" s="149" t="str">
        <x:v>Two concise phrases in each coaching section</x:v>
      </x:c>
      <x:c r="F16" s="149" t="str">
        <x:v>Editable</x:v>
      </x:c>
    </x:row>
    <x:row r="17">
      <x:c r="A17" s="149" t="str">
        <x:v>Stripe Payments rate</x:v>
      </x:c>
      <x:c r="B17" s="157" t="n">
        <x:v>0.029</x:v>
      </x:c>
      <x:c r="C17" s="149" t="str">
        <x:v>% of charge</x:v>
      </x:c>
      <x:c r="D17" s="149" t="str">
        <x:v>Source</x:v>
      </x:c>
      <x:c r="E17" s="149" t="str">
        <x:v>Stripe standard domestic card price</x:v>
      </x:c>
      <x:c r="F17" s="149" t="str">
        <x:v>Excludes international/add-ons</x:v>
      </x:c>
    </x:row>
    <x:row r="18">
      <x:c r="A18" s="149" t="str">
        <x:v>Stripe fixed fee</x:v>
      </x:c>
      <x:c r="B18" s="159" t="n">
        <x:v>0.3</x:v>
      </x:c>
      <x:c r="C18" s="149" t="str">
        <x:v>USD / charge</x:v>
      </x:c>
      <x:c r="D18" s="149" t="str">
        <x:v>Source</x:v>
      </x:c>
      <x:c r="E18" s="149" t="str">
        <x:v>Stripe standard domestic card price</x:v>
      </x:c>
      <x:c r="F18" s="149" t="str">
        <x:v>One monthly charge</x:v>
      </x:c>
    </x:row>
    <x:row r="19">
      <x:c r="A19" s="149" t="str">
        <x:v>Stripe Billing rate</x:v>
      </x:c>
      <x:c r="B19" s="157" t="n">
        <x:v>0.007</x:v>
      </x:c>
      <x:c r="C19" s="149" t="str">
        <x:v>% of billing volume</x:v>
      </x:c>
      <x:c r="D19" s="149" t="str">
        <x:v>Source</x:v>
      </x:c>
      <x:c r="E19" s="149" t="str">
        <x:v>Stripe Billing pay-as-you-go</x:v>
      </x:c>
      <x:c r="F19" s="149" t="str"/>
    </x:row>
    <x:row r="20">
      <x:c r="A20" s="149" t="str">
        <x:v>Gemini 3.6 Flash input — through 2026</x:v>
      </x:c>
      <x:c r="B20" s="159" t="n">
        <x:v>0.75</x:v>
      </x:c>
      <x:c r="C20" s="149" t="str">
        <x:v>USD / 1M tokens</x:v>
      </x:c>
      <x:c r="D20" s="149" t="str">
        <x:v>Source</x:v>
      </x:c>
      <x:c r="E20" s="149" t="str">
        <x:v>Official successor to legacy Gemini 3 Flash Preview</x:v>
      </x:c>
      <x:c r="F20" s="149" t="str"/>
    </x:row>
    <x:row r="21">
      <x:c r="A21" s="149" t="str">
        <x:v>Gemini 3.6 Flash output — through 2026</x:v>
      </x:c>
      <x:c r="B21" s="159" t="n">
        <x:v>3.75</x:v>
      </x:c>
      <x:c r="C21" s="149" t="str">
        <x:v>USD / 1M tokens</x:v>
      </x:c>
      <x:c r="D21" s="149" t="str">
        <x:v>Source</x:v>
      </x:c>
      <x:c r="E21" s="149" t="str">
        <x:v>Official pricing</x:v>
      </x:c>
      <x:c r="F21" s="149" t="str"/>
    </x:row>
    <x:row r="22">
      <x:c r="A22" s="149" t="str">
        <x:v>Gemini 3.6 Flash input — 2027 onward</x:v>
      </x:c>
      <x:c r="B22" s="159" t="n">
        <x:v>1.5</x:v>
      </x:c>
      <x:c r="C22" s="149" t="str">
        <x:v>USD / 1M tokens</x:v>
      </x:c>
      <x:c r="D22" s="149" t="str">
        <x:v>Source</x:v>
      </x:c>
      <x:c r="E22" s="149" t="str">
        <x:v>Published 2027 price</x:v>
      </x:c>
      <x:c r="F22" s="149" t="str"/>
    </x:row>
    <x:row r="23">
      <x:c r="A23" s="149" t="str">
        <x:v>Gemini 3.6 Flash output — 2027 onward</x:v>
      </x:c>
      <x:c r="B23" s="159" t="n">
        <x:v>7.5</x:v>
      </x:c>
      <x:c r="C23" s="149" t="str">
        <x:v>USD / 1M tokens</x:v>
      </x:c>
      <x:c r="D23" s="149" t="str">
        <x:v>Source</x:v>
      </x:c>
      <x:c r="E23" s="149" t="str">
        <x:v>Published 2027 price</x:v>
      </x:c>
      <x:c r="F23" s="149" t="str"/>
    </x:row>
    <x:row r="24">
      <x:c r="A24" s="149" t="str">
        <x:v>Gemini price step date</x:v>
      </x:c>
      <x:c r="B24" s="160" t="n">
        <x:v>46388</x:v>
      </x:c>
      <x:c r="C24" s="149" t="str">
        <x:v>date</x:v>
      </x:c>
      <x:c r="D24" s="149" t="str">
        <x:v>Source</x:v>
      </x:c>
      <x:c r="E24" s="149" t="str">
        <x:v>Official pricing schedule</x:v>
      </x:c>
      <x:c r="F24" s="149" t="str"/>
    </x:row>
    <x:row r="25">
      <x:c r="A25" s="149" t="str">
        <x:v>Lean fixed software stack</x:v>
      </x:c>
      <x:c r="B25" s="161" t="n">
        <x:f>SUM('Stack Comparison'!C7:C17)</x:f>
        <x:v>45</x:v>
      </x:c>
      <x:c r="C25" s="149" t="str">
        <x:v>USD / month</x:v>
      </x:c>
      <x:c r="D25" s="149" t="str">
        <x:v>Formula</x:v>
      </x:c>
      <x:c r="E25" s="149" t="str">
        <x:v>Supabase Pro $25 + Vercel Pro $20</x:v>
      </x:c>
      <x:c r="F25" s="149" t="str">
        <x:v>Gmail, PostHog, Sentry Developer, GitHub = $0 incremental</x:v>
      </x:c>
    </x:row>
    <x:row r="26">
      <x:c r="A26" s="149" t="str">
        <x:v>Monitored fixed software stack</x:v>
      </x:c>
      <x:c r="B26" s="161" t="n">
        <x:f>SUM('Stack Comparison'!D7:D17)</x:f>
        <x:v>71</x:v>
      </x:c>
      <x:c r="C26" s="149" t="str">
        <x:v>USD / month</x:v>
      </x:c>
      <x:c r="D26" s="149" t="str">
        <x:v>Formula</x:v>
      </x:c>
      <x:c r="E26" s="149" t="str">
        <x:v>Lean + Sentry Team $26</x:v>
      </x:c>
      <x:c r="F26" s="149" t="str">
        <x:v>Optional operating posture</x:v>
      </x:c>
    </x:row>
    <x:row r="27">
      <x:c r="A27" s="149" t="str">
        <x:v>Selected fixed-cost posture</x:v>
      </x:c>
      <x:c r="B27" s="156" t="str">
        <x:v>Lean</x:v>
      </x:c>
      <x:c r="C27" s="149" t="str">
        <x:v>Lean / Monitored</x:v>
      </x:c>
      <x:c r="D27" s="149" t="str">
        <x:v>Input</x:v>
      </x:c>
      <x:c r="E27" s="149" t="str">
        <x:v>Base case</x:v>
      </x:c>
      <x:c r="F27" s="149" t="str">
        <x:v>Use dropdown</x:v>
      </x:c>
    </x:row>
    <x:row r="28">
      <x:c r="A28" s="149" t="str">
        <x:v>Selected fixed OpEx</x:v>
      </x:c>
      <x:c r="B28" s="161" t="n">
        <x:f>IF(B27="Monitored",B26,B25)</x:f>
        <x:v>45</x:v>
      </x:c>
      <x:c r="C28" s="149" t="str">
        <x:v>USD / month</x:v>
      </x:c>
      <x:c r="D28" s="149" t="str">
        <x:v>Formula</x:v>
      </x:c>
      <x:c r="E28" s="149" t="str">
        <x:v>Selected posture</x:v>
      </x:c>
      <x:c r="F28" s="149" t="str">
        <x:v>Derived</x:v>
      </x:c>
    </x:row>
    <x:row r="29">
      <x:c r="A29" s="149" t="str">
        <x:v>Paid-acquisition scenario</x:v>
      </x:c>
      <x:c r="B29" s="156" t="str">
        <x:v>3:1 CAC ceiling</x:v>
      </x:c>
      <x:c r="C29" s="149" t="str">
        <x:v>scenario</x:v>
      </x:c>
      <x:c r="D29" s="149" t="str">
        <x:v>Input</x:v>
      </x:c>
      <x:c r="E29" s="149" t="str">
        <x:v>Marketing target scenario</x:v>
      </x:c>
      <x:c r="F29" s="149" t="str">
        <x:v>Organic scenario remains separate</x:v>
      </x:c>
    </x:row>
    <x:row r="30">
      <x:c r="A30" s="149" t="str">
        <x:v>CAC ceiling</x:v>
      </x:c>
      <x:c r="B30" s="161" t="n">
        <x:f>(B13-(B13*B17+B18+B13*B19)-B14*(B15/1000000*B22+B16/1000000*B23))*B11/3</x:f>
        <x:v>18.575</x:v>
      </x:c>
      <x:c r="C30" s="149" t="str">
        <x:v>USD / new paid user</x:v>
      </x:c>
      <x:c r="D30" s="149" t="str">
        <x:v>Formula</x:v>
      </x:c>
      <x:c r="E30" s="149" t="str">
        <x:v>Six-month contribution LTV ÷ 3</x:v>
      </x:c>
      <x:c r="F30" s="149" t="str">
        <x:v>Conservative 2027 Gemini price</x:v>
      </x:c>
    </x:row>
    <x:row r="31">
      <x:c r="A31" s="151" t="str">
        <x:v>Starting cash</x:v>
      </x:c>
      <x:c r="B31" s="162" t="n">
        <x:v>0</x:v>
      </x:c>
      <x:c r="C31" s="151" t="str">
        <x:v>USD</x:v>
      </x:c>
      <x:c r="D31" s="151" t="str">
        <x:v>Input</x:v>
      </x:c>
      <x:c r="E31" s="151" t="str">
        <x:v>Incremental model starts at zero</x:v>
      </x:c>
      <x:c r="F31" s="151" t="str">
        <x:v>Add cash balance if using as runway model</x:v>
      </x:c>
    </x:row>
    <x:row r="32">
      <x:c r="A32" s="124"/>
      <x:c r="B32" s="124"/>
      <x:c r="C32" s="124"/>
      <x:c r="D32" s="124"/>
      <x:c r="E32" s="124"/>
      <x:c r="F32" s="124"/>
    </x:row>
    <x:row r="33">
      <x:c r="A33" s="124"/>
      <x:c r="B33" s="124"/>
      <x:c r="C33" s="124"/>
      <x:c r="D33" s="124"/>
      <x:c r="E33" s="124"/>
      <x:c r="F33" s="124"/>
    </x:row>
    <x:row r="34" ht="22" customHeight="1">
      <x:c r="A34" s="146" t="str">
        <x:v>Historical assumptions preserved for like-for-like comparison</x:v>
      </x:c>
      <x:c r="B34" s="146" t="str">
        <x:v>Historical assumptions preserved for like-for-like comparison</x:v>
      </x:c>
      <x:c r="C34" s="146" t="str">
        <x:v>Historical assumptions preserved for like-for-like comparison</x:v>
      </x:c>
      <x:c r="D34" s="146" t="str">
        <x:v>Historical assumptions preserved for like-for-like comparison</x:v>
      </x:c>
      <x:c r="E34" s="146" t="str">
        <x:v>Historical assumptions preserved for like-for-like comparison</x:v>
      </x:c>
      <x:c r="F34" s="146" t="str">
        <x:v>Historical assumptions preserved for like-for-like comparison</x:v>
      </x:c>
    </x:row>
    <x:row r="35" ht="26" customHeight="1">
      <x:c r="A35" s="126" t="str">
        <x:v>Driver</x:v>
      </x:c>
      <x:c r="B35" s="126" t="str">
        <x:v>Feb 1 original</x:v>
      </x:c>
      <x:c r="C35" s="126" t="str">
        <x:v>Feb 23 revised</x:v>
      </x:c>
      <x:c r="D35" s="126" t="str">
        <x:v>Archive lean</x:v>
      </x:c>
      <x:c r="E35" s="126" t="str">
        <x:v>Current</x:v>
      </x:c>
      <x:c r="F35" s="126" t="str">
        <x:v>Notes</x:v>
      </x:c>
    </x:row>
    <x:row r="36">
      <x:c r="A36" s="147" t="str">
        <x:v>Monthly price</x:v>
      </x:c>
      <x:c r="B36" s="163" t="n">
        <x:v>7.99</x:v>
      </x:c>
      <x:c r="C36" s="163" t="n">
        <x:v>14.99</x:v>
      </x:c>
      <x:c r="D36" s="163" t="n">
        <x:v>7.99</x:v>
      </x:c>
      <x:c r="E36" s="163" t="n">
        <x:f>'Assumptions'!B13</x:f>
        <x:v>10</x:v>
      </x:c>
      <x:c r="F36" s="147" t="str">
        <x:v>Current price is $10 after trial</x:v>
      </x:c>
    </x:row>
    <x:row r="37">
      <x:c r="A37" s="149" t="str">
        <x:v>Conversion</x:v>
      </x:c>
      <x:c r="B37" s="164" t="n">
        <x:v>0.02</x:v>
      </x:c>
      <x:c r="C37" s="164" t="n">
        <x:v>0.02</x:v>
      </x:c>
      <x:c r="D37" s="164" t="n">
        <x:v>0.02</x:v>
      </x:c>
      <x:c r="E37" s="164" t="n">
        <x:f>'Assumptions'!B8</x:f>
        <x:v>0.02</x:v>
      </x:c>
      <x:c r="F37" s="149" t="str">
        <x:v>Held constant</x:v>
      </x:c>
    </x:row>
    <x:row r="38">
      <x:c r="A38" s="149" t="str">
        <x:v>New paid users / month</x:v>
      </x:c>
      <x:c r="B38" s="149" t="n">
        <x:v>10</x:v>
      </x:c>
      <x:c r="C38" s="149" t="n">
        <x:v>10</x:v>
      </x:c>
      <x:c r="D38" s="149" t="n">
        <x:v>10</x:v>
      </x:c>
      <x:c r="E38" s="149" t="n">
        <x:f>'Assumptions'!B10</x:f>
        <x:v>10</x:v>
      </x:c>
      <x:c r="F38" s="149" t="str">
        <x:v>Current begins after one-month trial</x:v>
      </x:c>
    </x:row>
    <x:row r="39">
      <x:c r="A39" s="149" t="str">
        <x:v>Paid lifetime (months)</x:v>
      </x:c>
      <x:c r="B39" s="149" t="n">
        <x:v>6</x:v>
      </x:c>
      <x:c r="C39" s="149" t="n">
        <x:v>6</x:v>
      </x:c>
      <x:c r="D39" s="149" t="n">
        <x:v>6</x:v>
      </x:c>
      <x:c r="E39" s="149" t="n">
        <x:f>'Assumptions'!B11</x:f>
        <x:v>6</x:v>
      </x:c>
      <x:c r="F39" s="149" t="str">
        <x:v>Held constant</x:v>
      </x:c>
    </x:row>
    <x:row r="40">
      <x:c r="A40" s="149" t="str">
        <x:v>Fixed software OpEx</x:v>
      </x:c>
      <x:c r="B40" s="165" t="n">
        <x:v>25</x:v>
      </x:c>
      <x:c r="C40" s="165" t="n">
        <x:v>94</x:v>
      </x:c>
      <x:c r="D40" s="165" t="n">
        <x:v>45</x:v>
      </x:c>
      <x:c r="E40" s="165" t="n">
        <x:f>'Assumptions'!B25</x:f>
        <x:v>45</x:v>
      </x:c>
      <x:c r="F40" s="149" t="str">
        <x:v>Lean current posture</x:v>
      </x:c>
    </x:row>
    <x:row r="41">
      <x:c r="A41" s="151" t="str">
        <x:v>Contribution / paid user</x:v>
      </x:c>
      <x:c r="B41" s="166" t="n">
        <x:v>7.1</x:v>
      </x:c>
      <x:c r="C41" s="166" t="n">
        <x:v>9.48</x:v>
      </x:c>
      <x:c r="D41" s="166" t="n">
        <x:v>5.54</x:v>
      </x:c>
      <x:c r="E41" s="166" t="n">
        <x:f>'Unit Economics'!B11</x:f>
        <x:v>9.2875</x:v>
      </x:c>
      <x:c r="F41" s="151" t="str">
        <x:v>Revenue less variable cost</x:v>
      </x:c>
    </x:row>
  </x:sheetData>
  <x:mergeCells>
    <x:mergeCell ref="A1:F1"/>
    <x:mergeCell ref="A2:F3"/>
    <x:mergeCell ref="A4:F4"/>
    <x:mergeCell ref="A34:F34"/>
  </x:mergeCells>
  <x:dataValidations count="1">
    <x:dataValidation type="list" sqref="B27">
      <x:formula1>"Lean,Monitored"</x:formula1>
    </x:dataValidation>
  </x:dataValidations>
  <x:pageMargins left="0.7" right="0.7" top="0.75" bottom="0.75" header="0.3" footer="0.3"/>
  <x:legacyDrawing xmlns:r="http://schemas.openxmlformats.org/officeDocument/2006/relationships" r:id="Rb34fdf70489d417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36" hidden="0" customWidth="1"/>
    <x:col min="7" max="7" width="48" hidden="0" customWidth="1"/>
    <x:col min="8" max="8" width="3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4" customHeight="1">
      <x:c r="A1" s="123" t="str">
        <x:v>Software stack — historical versus current</x:v>
      </x:c>
      <x:c r="B1" s="123" t="str">
        <x:v>Software stack — historical versus current</x:v>
      </x:c>
      <x:c r="C1" s="123" t="str">
        <x:v>Software stack — historical versus current</x:v>
      </x:c>
      <x:c r="D1" s="123" t="str">
        <x:v>Software stack — historical versus current</x:v>
      </x:c>
      <x:c r="E1" s="123" t="str">
        <x:v>Software stack — historical versus current</x:v>
      </x:c>
      <x:c r="F1" s="123" t="str">
        <x:v>Software stack — historical versus current</x:v>
      </x:c>
      <x:c r="G1" s="123" t="str">
        <x:v>Software stack — historical versus current</x:v>
      </x:c>
      <x:c r="H1" s="124"/>
      <x:c r="I1" s="124"/>
      <x:c r="J1" s="124"/>
      <x:c r="K1" s="124"/>
      <x:c r="L1" s="124"/>
    </x:row>
    <x:row r="2" ht="32" customHeight="1">
      <x:c r="A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B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C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D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E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F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G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H2" s="124"/>
      <x:c r="I2" s="124"/>
      <x:c r="J2" s="124"/>
      <x:c r="K2" s="124"/>
      <x:c r="L2" s="124"/>
    </x:row>
    <x:row r="3" ht="32" customHeight="1">
      <x:c r="A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B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C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D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E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F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G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H3" s="124"/>
      <x:c r="I3" s="124"/>
      <x:c r="J3" s="124"/>
      <x:c r="K3" s="124"/>
      <x:c r="L3" s="124"/>
    </x:row>
    <x:row r="4" ht="26" customHeight="1">
      <x:c r="A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B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C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D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E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F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G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H4" s="124"/>
      <x:c r="I4" s="126" t="str">
        <x:v>Posture</x:v>
      </x:c>
      <x:c r="J4" s="126" t="str">
        <x:v>Historical</x:v>
      </x:c>
      <x:c r="K4" s="126" t="str">
        <x:v>Current lean</x:v>
      </x:c>
      <x:c r="L4" s="126" t="str">
        <x:v>Current monitored</x:v>
      </x:c>
    </x:row>
    <x:row r="5">
      <x:c r="A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B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C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D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E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F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G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H5" s="124"/>
      <x:c r="I5" s="124" t="str">
        <x:v>Fixed monthly OpEx</x:v>
      </x:c>
      <x:c r="J5" s="128" t="n">
        <x:v>94</x:v>
      </x:c>
      <x:c r="K5" s="128" t="n">
        <x:v>45</x:v>
      </x:c>
      <x:c r="L5" s="128" t="n">
        <x:v>71</x:v>
      </x:c>
    </x:row>
    <x:row r="6" ht="26" customHeight="1">
      <x:c r="A6" s="126" t="str">
        <x:v>Service / function</x:v>
      </x:c>
      <x:c r="B6" s="126" t="str">
        <x:v>Historical Feb 23</x:v>
      </x:c>
      <x:c r="C6" s="126" t="str">
        <x:v>Current lean</x:v>
      </x:c>
      <x:c r="D6" s="126" t="str">
        <x:v>Current monitored</x:v>
      </x:c>
      <x:c r="E6" s="126" t="str">
        <x:v>Billing basis</x:v>
      </x:c>
      <x:c r="F6" s="126" t="str">
        <x:v>Current posture</x:v>
      </x:c>
      <x:c r="G6" s="126" t="str">
        <x:v>Official source</x:v>
      </x:c>
      <x:c r="H6" s="124"/>
      <x:c r="I6" s="124" t="str">
        <x:v>Savings vs historical</x:v>
      </x:c>
      <x:c r="J6" s="128" t="n">
        <x:v>0</x:v>
      </x:c>
      <x:c r="K6" s="128" t="n">
        <x:v>49</x:v>
      </x:c>
      <x:c r="L6" s="128" t="n">
        <x:v>23</x:v>
      </x:c>
    </x:row>
    <x:row r="7">
      <x:c r="A7" s="147" t="str">
        <x:v>Supabase</x:v>
      </x:c>
      <x:c r="B7" s="163" t="n">
        <x:v>25</x:v>
      </x:c>
      <x:c r="C7" s="163" t="n">
        <x:v>25</x:v>
      </x:c>
      <x:c r="D7" s="163" t="n">
        <x:v>25</x:v>
      </x:c>
      <x:c r="E7" s="147" t="str">
        <x:v>Monthly</x:v>
      </x:c>
      <x:c r="F7" s="147" t="str">
        <x:v>Pro; one Micro project covered by compute credit</x:v>
      </x:c>
      <x:c r="G7" s="147" t="str">
        <x:v>https://supabase.com/pricing</x:v>
      </x:c>
      <x:c r="H7" s="124"/>
      <x:c r="I7" s="124" t="str">
        <x:v>Optional Gmail Workspace</x:v>
      </x:c>
      <x:c r="J7" s="128" t="n">
        <x:v>0</x:v>
      </x:c>
      <x:c r="K7" s="128" t="n">
        <x:v>7</x:v>
      </x:c>
      <x:c r="L7" s="128" t="n">
        <x:v>7</x:v>
      </x:c>
    </x:row>
    <x:row r="8">
      <x:c r="A8" s="149" t="str">
        <x:v>Vercel</x:v>
      </x:c>
      <x:c r="B8" s="165" t="n">
        <x:v>20</x:v>
      </x:c>
      <x:c r="C8" s="165" t="n">
        <x:v>20</x:v>
      </x:c>
      <x:c r="D8" s="165" t="n">
        <x:v>20</x:v>
      </x:c>
      <x:c r="E8" s="149" t="str">
        <x:v>Monthly</x:v>
      </x:c>
      <x:c r="F8" s="149" t="str">
        <x:v>Pro; usage allowance included</x:v>
      </x:c>
      <x:c r="G8" s="149" t="str">
        <x:v>https://vercel.com/pricing</x:v>
      </x:c>
      <x:c r="H8" s="124"/>
      <x:c r="I8" s="124" t="str">
        <x:v>Total with Workspace</x:v>
      </x:c>
      <x:c r="J8" s="128" t="n">
        <x:v>94</x:v>
      </x:c>
      <x:c r="K8" s="128" t="n">
        <x:v>52</x:v>
      </x:c>
      <x:c r="L8" s="128" t="n">
        <x:v>78</x:v>
      </x:c>
    </x:row>
    <x:row r="9">
      <x:c r="A9" s="149" t="str">
        <x:v>Sentry</x:v>
      </x:c>
      <x:c r="B9" s="165" t="n">
        <x:v>29</x:v>
      </x:c>
      <x:c r="C9" s="165" t="n">
        <x:v>0</x:v>
      </x:c>
      <x:c r="D9" s="165" t="n">
        <x:v>26</x:v>
      </x:c>
      <x:c r="E9" s="149" t="str">
        <x:v>Monthly</x:v>
      </x:c>
      <x:c r="F9" s="149" t="str">
        <x:v>Developer in lean; Team option shown</x:v>
      </x:c>
      <x:c r="G9" s="149" t="str">
        <x:v>https://sentry.io/pricing/</x:v>
      </x:c>
      <x:c r="H9" s="124"/>
      <x:c r="I9" s="124"/>
      <x:c r="J9" s="124"/>
      <x:c r="K9" s="124"/>
      <x:c r="L9" s="124"/>
    </x:row>
    <x:row r="10">
      <x:c r="A10" s="149" t="str">
        <x:v>Email</x:v>
      </x:c>
      <x:c r="B10" s="165" t="n">
        <x:v>20</x:v>
      </x:c>
      <x:c r="C10" s="165" t="n">
        <x:v>0</x:v>
      </x:c>
      <x:c r="D10" s="165" t="n">
        <x:v>0</x:v>
      </x:c>
      <x:c r="E10" s="149" t="str">
        <x:v>Monthly</x:v>
      </x:c>
      <x:c r="F10" s="149" t="str">
        <x:v>Historical Resend; current existing Gmail</x:v>
      </x:c>
      <x:c r="G10" s="149" t="str">
        <x:v>https://resend.com/pricing</x:v>
      </x:c>
      <x:c r="H10" s="124"/>
      <x:c r="I10" s="124"/>
      <x:c r="J10" s="124"/>
      <x:c r="K10" s="124"/>
      <x:c r="L10" s="124"/>
    </x:row>
    <x:row r="11">
      <x:c r="A11" s="149" t="str">
        <x:v>PostHog</x:v>
      </x:c>
      <x:c r="B11" s="165" t="n">
        <x:v>0</x:v>
      </x:c>
      <x:c r="C11" s="165" t="n">
        <x:v>0</x:v>
      </x:c>
      <x:c r="D11" s="165" t="n">
        <x:v>0</x:v>
      </x:c>
      <x:c r="E11" s="149" t="str">
        <x:v>Usage</x:v>
      </x:c>
      <x:c r="F11" s="149" t="str">
        <x:v>Free tier until limits are exceeded</x:v>
      </x:c>
      <x:c r="G11" s="149" t="str">
        <x:v>https://posthog.com/pricing</x:v>
      </x:c>
      <x:c r="H11" s="124"/>
      <x:c r="I11" s="124"/>
      <x:c r="J11" s="124"/>
      <x:c r="K11" s="124"/>
      <x:c r="L11" s="124"/>
    </x:row>
    <x:row r="12">
      <x:c r="A12" s="149" t="str">
        <x:v>GitHub / Actions</x:v>
      </x:c>
      <x:c r="B12" s="165" t="n">
        <x:v>0</x:v>
      </x:c>
      <x:c r="C12" s="165" t="n">
        <x:v>0</x:v>
      </x:c>
      <x:c r="D12" s="165" t="n">
        <x:v>0</x:v>
      </x:c>
      <x:c r="E12" s="149" t="str">
        <x:v>Usage</x:v>
      </x:c>
      <x:c r="F12" s="149" t="str">
        <x:v>Public repository; standard public Actions minutes</x:v>
      </x:c>
      <x:c r="G12" s="149" t="str">
        <x:v>https://github.com/pricing</x:v>
      </x:c>
      <x:c r="H12" s="124"/>
      <x:c r="I12" s="124"/>
      <x:c r="J12" s="124"/>
      <x:c r="K12" s="124"/>
      <x:c r="L12" s="124"/>
    </x:row>
    <x:row r="13">
      <x:c r="A13" s="149" t="str">
        <x:v>AssemblyAI</x:v>
      </x:c>
      <x:c r="B13" s="165" t="n">
        <x:v>0</x:v>
      </x:c>
      <x:c r="C13" s="165" t="n">
        <x:v>0</x:v>
      </x:c>
      <x:c r="D13" s="165" t="n">
        <x:v>0</x:v>
      </x:c>
      <x:c r="E13" s="149" t="str">
        <x:v>Usage</x:v>
      </x:c>
      <x:c r="F13" s="149" t="str">
        <x:v>Not in current customer path</x:v>
      </x:c>
      <x:c r="G13" s="149" t="str">
        <x:v>https://www.assemblyai.com/pricing</x:v>
      </x:c>
      <x:c r="H13" s="124"/>
      <x:c r="I13" s="124"/>
      <x:c r="J13" s="124"/>
      <x:c r="K13" s="124"/>
      <x:c r="L13" s="124"/>
    </x:row>
    <x:row r="14">
      <x:c r="A14" s="149" t="str">
        <x:v>Browser-native STT</x:v>
      </x:c>
      <x:c r="B14" s="165" t="n">
        <x:v>0</x:v>
      </x:c>
      <x:c r="C14" s="165" t="n">
        <x:v>0</x:v>
      </x:c>
      <x:c r="D14" s="165" t="n">
        <x:v>0</x:v>
      </x:c>
      <x:c r="E14" s="149" t="str">
        <x:v>Usage</x:v>
      </x:c>
      <x:c r="F14" s="149" t="str">
        <x:v>Not used</x:v>
      </x:c>
      <x:c r="G14" s="149" t="str">
        <x:v>n/a</x:v>
      </x:c>
      <x:c r="H14" s="124"/>
      <x:c r="I14" s="124"/>
      <x:c r="J14" s="124"/>
      <x:c r="K14" s="124"/>
      <x:c r="L14" s="124"/>
    </x:row>
    <x:row r="15">
      <x:c r="A15" s="149" t="str">
        <x:v>Private STT model</x:v>
      </x:c>
      <x:c r="B15" s="165" t="n">
        <x:v>0</x:v>
      </x:c>
      <x:c r="C15" s="165" t="n">
        <x:v>0</x:v>
      </x:c>
      <x:c r="D15" s="165" t="n">
        <x:v>0</x:v>
      </x:c>
      <x:c r="E15" s="149" t="str">
        <x:v>Included hosting</x:v>
      </x:c>
      <x:c r="F15" s="149" t="str">
        <x:v>~80.55 MB model served by current hosting</x:v>
      </x:c>
      <x:c r="G15" s="149" t="str">
        <x:v>Local bundle: frontend/public/models/whisper-base.en</x:v>
      </x:c>
      <x:c r="H15" s="124"/>
      <x:c r="I15" s="124"/>
      <x:c r="J15" s="124"/>
      <x:c r="K15" s="124"/>
      <x:c r="L15" s="124"/>
    </x:row>
    <x:row r="16">
      <x:c r="A16" s="149" t="str">
        <x:v>Gemini coaching</x:v>
      </x:c>
      <x:c r="B16" s="165" t="n">
        <x:v>0</x:v>
      </x:c>
      <x:c r="C16" s="165" t="n">
        <x:v>0</x:v>
      </x:c>
      <x:c r="D16" s="165" t="n">
        <x:v>0</x:v>
      </x:c>
      <x:c r="E16" s="149" t="str">
        <x:v>Usage</x:v>
      </x:c>
      <x:c r="F16" s="149" t="str">
        <x:v>Per token; modeled in variable costs</x:v>
      </x:c>
      <x:c r="G16" s="149" t="str">
        <x:v>https://ai.google.dev/gemini-api/docs/pricing</x:v>
      </x:c>
      <x:c r="H16" s="124"/>
      <x:c r="I16" s="124"/>
      <x:c r="J16" s="124"/>
      <x:c r="K16" s="124"/>
      <x:c r="L16" s="124"/>
    </x:row>
    <x:row r="17">
      <x:c r="A17" s="151" t="str">
        <x:v>Stripe</x:v>
      </x:c>
      <x:c r="B17" s="166" t="n">
        <x:v>0</x:v>
      </x:c>
      <x:c r="C17" s="166" t="n">
        <x:v>0</x:v>
      </x:c>
      <x:c r="D17" s="166" t="n">
        <x:v>0</x:v>
      </x:c>
      <x:c r="E17" s="151" t="str">
        <x:v>Usage</x:v>
      </x:c>
      <x:c r="F17" s="151" t="str">
        <x:v>Per successful monthly charge</x:v>
      </x:c>
      <x:c r="G17" s="151" t="str">
        <x:v>https://stripe.com/us/pricing</x:v>
      </x:c>
      <x:c r="H17" s="124"/>
      <x:c r="I17" s="124"/>
      <x:c r="J17" s="124"/>
      <x:c r="K17" s="124"/>
      <x:c r="L17" s="124"/>
    </x:row>
    <x:row r="18">
      <x:c r="A18" s="168" t="str">
        <x:v>Fixed monthly total</x:v>
      </x:c>
      <x:c r="B18" s="169" t="n">
        <x:f>SUM(B7:B17)</x:f>
        <x:v>94</x:v>
      </x:c>
      <x:c r="C18" s="169" t="n">
        <x:f>SUM(C7:C17)</x:f>
        <x:v>45</x:v>
      </x:c>
      <x:c r="D18" s="169" t="n">
        <x:f>SUM(D7:D17)</x:f>
        <x:v>71</x:v>
      </x:c>
      <x:c r="E18" s="168"/>
      <x:c r="F18" s="168"/>
      <x:c r="G18" s="168"/>
      <x:c r="H18" s="124"/>
      <x:c r="I18" s="124"/>
      <x:c r="J18" s="124"/>
      <x:c r="K18" s="124"/>
      <x:c r="L18" s="124"/>
    </x:row>
    <x:row r="19">
      <x:c r="A19" s="124"/>
      <x:c r="B19" s="124"/>
      <x:c r="C19" s="124"/>
      <x:c r="D19" s="124"/>
      <x:c r="E19" s="124"/>
      <x:c r="F19" s="124"/>
      <x:c r="G19" s="124"/>
      <x:c r="H19" s="124"/>
      <x:c r="I19" s="124"/>
      <x:c r="J19" s="124"/>
      <x:c r="K19" s="124"/>
      <x:c r="L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  <x:c r="I20" s="124"/>
      <x:c r="J20" s="124"/>
      <x:c r="K20" s="124"/>
      <x:c r="L20" s="124"/>
    </x:row>
    <x:row r="21" ht="22" customHeight="1">
      <x:c r="A21" s="146" t="str">
        <x:v>Variable-cost comparison per paid user / month</x:v>
      </x:c>
      <x:c r="B21" s="146" t="str">
        <x:v>Variable-cost comparison per paid user / month</x:v>
      </x:c>
      <x:c r="C21" s="146" t="str">
        <x:v>Variable-cost comparison per paid user / month</x:v>
      </x:c>
      <x:c r="D21" s="146" t="str">
        <x:v>Variable-cost comparison per paid user / month</x:v>
      </x:c>
      <x:c r="E21" s="146" t="str">
        <x:v>Variable-cost comparison per paid user / month</x:v>
      </x:c>
      <x:c r="F21" s="146" t="str">
        <x:v>Variable-cost comparison per paid user / month</x:v>
      </x:c>
      <x:c r="G21" s="146" t="str">
        <x:v>Variable-cost comparison per paid user / month</x:v>
      </x:c>
      <x:c r="H21" s="124"/>
      <x:c r="I21" s="124"/>
      <x:c r="J21" s="124"/>
      <x:c r="K21" s="124"/>
      <x:c r="L21" s="124"/>
    </x:row>
    <x:row r="22" ht="26" customHeight="1">
      <x:c r="A22" s="126" t="str">
        <x:v>Variable item</x:v>
      </x:c>
      <x:c r="B22" s="126" t="str">
        <x:v>Historical Feb 23</x:v>
      </x:c>
      <x:c r="C22" s="126" t="str">
        <x:v>Current 2026</x:v>
      </x:c>
      <x:c r="D22" s="126" t="str">
        <x:v>Current 2027</x:v>
      </x:c>
      <x:c r="E22" s="126" t="str">
        <x:v>Assumption</x:v>
      </x:c>
      <x:c r="F22" s="126" t="str">
        <x:v>Impact</x:v>
      </x:c>
      <x:c r="G22" s="126" t="str">
        <x:v>Source</x:v>
      </x:c>
      <x:c r="H22" s="124"/>
      <x:c r="I22" s="124"/>
      <x:c r="J22" s="124"/>
      <x:c r="K22" s="124"/>
      <x:c r="L22" s="124"/>
    </x:row>
    <x:row r="23">
      <x:c r="A23" s="147" t="str">
        <x:v>Cloud STT</x:v>
      </x:c>
      <x:c r="B23" s="163" t="n">
        <x:v>4.7</x:v>
      </x:c>
      <x:c r="C23" s="163" t="n">
        <x:v>0</x:v>
      </x:c>
      <x:c r="D23" s="163" t="n">
        <x:v>0</x:v>
      </x:c>
      <x:c r="E23" s="147" t="str">
        <x:v>Old: 10 hr × $0.47; current private STT</x:v>
      </x:c>
      <x:c r="F23" s="147" t="str">
        <x:v>Removed</x:v>
      </x:c>
      <x:c r="G23" s="147" t="str">
        <x:v>https://www.assemblyai.com/pricing</x:v>
      </x:c>
      <x:c r="H23" s="124"/>
      <x:c r="I23" s="124"/>
      <x:c r="J23" s="124"/>
      <x:c r="K23" s="124"/>
      <x:c r="L23" s="124"/>
    </x:row>
    <x:row r="24">
      <x:c r="A24" s="149" t="str">
        <x:v>Stripe Payments + Billing</x:v>
      </x:c>
      <x:c r="B24" s="165" t="n">
        <x:f>'Prior Models'!C10-B23</x:f>
        <x:v>0.8099999999999996</x:v>
      </x:c>
      <x:c r="C24" s="165" t="n">
        <x:f>'Unit Economics'!B8</x:f>
        <x:v>0.6600000000000001</x:v>
      </x:c>
      <x:c r="D24" s="165" t="n">
        <x:f>'Unit Economics'!B8</x:f>
        <x:v>0.6600000000000001</x:v>
      </x:c>
      <x:c r="E24" s="149" t="str">
        <x:v>One $10 domestic monthly charge</x:v>
      </x:c>
      <x:c r="F24" s="149" t="str">
        <x:v>Current unavoidable payment cost</x:v>
      </x:c>
      <x:c r="G24" s="149" t="str">
        <x:v>https://stripe.com/us/pricing</x:v>
      </x:c>
      <x:c r="H24" s="124"/>
      <x:c r="I24" s="124"/>
      <x:c r="J24" s="124"/>
      <x:c r="K24" s="124"/>
      <x:c r="L24" s="124"/>
    </x:row>
    <x:row r="25">
      <x:c r="A25" s="149" t="str">
        <x:v>Gemini coaching</x:v>
      </x:c>
      <x:c r="B25" s="165" t="n">
        <x:v>0</x:v>
      </x:c>
      <x:c r="C25" s="165" t="n">
        <x:f>'Unit Economics'!B9</x:f>
        <x:v>0.026249999999999996</x:v>
      </x:c>
      <x:c r="D25" s="165" t="n">
        <x:f>'Unit Economics'!B10</x:f>
        <x:v>0.05249999999999999</x:v>
      </x:c>
      <x:c r="E25" s="149" t="str">
        <x:v>10 calls; 2,500 input + 200 output tokens each</x:v>
      </x:c>
      <x:c r="F25" s="149" t="str">
        <x:v>Very small at modeled use</x:v>
      </x:c>
      <x:c r="G25" s="149" t="str">
        <x:v>https://ai.google.dev/gemini-api/docs/pricing</x:v>
      </x:c>
      <x:c r="H25" s="124"/>
      <x:c r="I25" s="124"/>
      <x:c r="J25" s="124"/>
      <x:c r="K25" s="124"/>
      <x:c r="L25" s="124"/>
    </x:row>
    <x:row r="26">
      <x:c r="A26" s="170" t="str">
        <x:v>Total variable cost</x:v>
      </x:c>
      <x:c r="B26" s="171" t="n">
        <x:f>SUM(B23:B25)</x:f>
        <x:v>5.51</x:v>
      </x:c>
      <x:c r="C26" s="171" t="n">
        <x:f>SUM(C23:C25)</x:f>
        <x:v>0.6862500000000001</x:v>
      </x:c>
      <x:c r="D26" s="171" t="n">
        <x:f>SUM(D23:D25)</x:f>
        <x:v>0.7125000000000001</x:v>
      </x:c>
      <x:c r="E26" s="170" t="str">
        <x:v>Sum</x:v>
      </x:c>
      <x:c r="F26" s="170" t="str">
        <x:v>Drives contribution</x:v>
      </x:c>
      <x:c r="G26" s="170" t="str"/>
      <x:c r="H26" s="124"/>
      <x:c r="I26" s="124"/>
      <x:c r="J26" s="124"/>
      <x:c r="K26" s="124"/>
      <x:c r="L26" s="124"/>
    </x:row>
  </x:sheetData>
  <x:mergeCells>
    <x:mergeCell ref="A1:G1"/>
    <x:mergeCell ref="A2:G3"/>
    <x:mergeCell ref="A4:G5"/>
    <x:mergeCell ref="A21:G21"/>
  </x:mergeCells>
  <x:pageMargins left="0.7" right="0.7" top="0.75" bottom="0.75" header="0.3" footer="0.3"/>
  <x:drawing xmlns:r="http://schemas.openxmlformats.org/officeDocument/2006/relationships" r:id="Rc7acc7fd343e429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29" hidden="0" customWidth="1"/>
    <x:col min="8" max="8" width="29" hidden="0" customWidth="1"/>
    <x:col min="9" max="9" width="52" hidden="0" customWidth="1"/>
  </x:cols>
  <x:sheetData>
    <x:row r="1" ht="34" customHeight="1">
      <x:c r="A1" s="123" t="str">
        <x:v>Gemini model options and coaching cost</x:v>
      </x:c>
      <x:c r="B1" s="123" t="str">
        <x:v>Gemini model options and coaching cost</x:v>
      </x:c>
      <x:c r="C1" s="123" t="str">
        <x:v>Gemini model options and coaching cost</x:v>
      </x:c>
      <x:c r="D1" s="123" t="str">
        <x:v>Gemini model options and coaching cost</x:v>
      </x:c>
      <x:c r="E1" s="123" t="str">
        <x:v>Gemini model options and coaching cost</x:v>
      </x:c>
      <x:c r="F1" s="123" t="str">
        <x:v>Gemini model options and coaching cost</x:v>
      </x:c>
      <x:c r="G1" s="123" t="str">
        <x:v>Gemini model options and coaching cost</x:v>
      </x:c>
      <x:c r="H1" s="123" t="str">
        <x:v>Gemini model options and coaching cost</x:v>
      </x:c>
      <x:c r="I1" s="123" t="str">
        <x:v>Gemini model options and coaching cost</x:v>
      </x:c>
    </x:row>
    <x:row r="2" ht="32" customHeight="1">
      <x:c r="A2" s="125" t="str">
        <x:v>Current code uses legacy gemini-3-flash-preview. The official replacement is Gemini 3.6 Flash. Gemini 3.5 Flash-Lite is the lower-cost candidate but requires a real coaching-quality benchmark before switching.</x:v>
      </x:c>
      <x:c r="B2" s="125" t="str">
        <x:v>Current code uses legacy gemini-3-flash-preview. The official replacement is Gemini 3.6 Flash. Gemini 3.5 Flash-Lite is the lower-cost candidate but requires a real coaching-quality benchmark before switching.</x:v>
      </x:c>
      <x:c r="C2" s="125" t="str">
        <x:v>Current code uses legacy gemini-3-flash-preview. The official replacement is Gemini 3.6 Flash. Gemini 3.5 Flash-Lite is the lower-cost candidate but requires a real coaching-quality benchmark before switching.</x:v>
      </x:c>
      <x:c r="D2" s="125" t="str">
        <x:v>Current code uses legacy gemini-3-flash-preview. The official replacement is Gemini 3.6 Flash. Gemini 3.5 Flash-Lite is the lower-cost candidate but requires a real coaching-quality benchmark before switching.</x:v>
      </x:c>
      <x:c r="E2" s="125" t="str">
        <x:v>Current code uses legacy gemini-3-flash-preview. The official replacement is Gemini 3.6 Flash. Gemini 3.5 Flash-Lite is the lower-cost candidate but requires a real coaching-quality benchmark before switching.</x:v>
      </x:c>
      <x:c r="F2" s="125" t="str">
        <x:v>Current code uses legacy gemini-3-flash-preview. The official replacement is Gemini 3.6 Flash. Gemini 3.5 Flash-Lite is the lower-cost candidate but requires a real coaching-quality benchmark before switching.</x:v>
      </x:c>
      <x:c r="G2" s="125" t="str">
        <x:v>Current code uses legacy gemini-3-flash-preview. The official replacement is Gemini 3.6 Flash. Gemini 3.5 Flash-Lite is the lower-cost candidate but requires a real coaching-quality benchmark before switching.</x:v>
      </x:c>
      <x:c r="H2" s="125" t="str">
        <x:v>Current code uses legacy gemini-3-flash-preview. The official replacement is Gemini 3.6 Flash. Gemini 3.5 Flash-Lite is the lower-cost candidate but requires a real coaching-quality benchmark before switching.</x:v>
      </x:c>
      <x:c r="I2" s="125" t="str">
        <x:v>Current code uses legacy gemini-3-flash-preview. The official replacement is Gemini 3.6 Flash. Gemini 3.5 Flash-Lite is the lower-cost candidate but requires a real coaching-quality benchmark before switching.</x:v>
      </x:c>
    </x:row>
    <x:row r="3" ht="32" customHeight="1">
      <x:c r="A3" s="125" t="str">
        <x:v>Current code uses legacy gemini-3-flash-preview. The official replacement is Gemini 3.6 Flash. Gemini 3.5 Flash-Lite is the lower-cost candidate but requires a real coaching-quality benchmark before switching.</x:v>
      </x:c>
      <x:c r="B3" s="125" t="str">
        <x:v>Current code uses legacy gemini-3-flash-preview. The official replacement is Gemini 3.6 Flash. Gemini 3.5 Flash-Lite is the lower-cost candidate but requires a real coaching-quality benchmark before switching.</x:v>
      </x:c>
      <x:c r="C3" s="125" t="str">
        <x:v>Current code uses legacy gemini-3-flash-preview. The official replacement is Gemini 3.6 Flash. Gemini 3.5 Flash-Lite is the lower-cost candidate but requires a real coaching-quality benchmark before switching.</x:v>
      </x:c>
      <x:c r="D3" s="125" t="str">
        <x:v>Current code uses legacy gemini-3-flash-preview. The official replacement is Gemini 3.6 Flash. Gemini 3.5 Flash-Lite is the lower-cost candidate but requires a real coaching-quality benchmark before switching.</x:v>
      </x:c>
      <x:c r="E3" s="125" t="str">
        <x:v>Current code uses legacy gemini-3-flash-preview. The official replacement is Gemini 3.6 Flash. Gemini 3.5 Flash-Lite is the lower-cost candidate but requires a real coaching-quality benchmark before switching.</x:v>
      </x:c>
      <x:c r="F3" s="125" t="str">
        <x:v>Current code uses legacy gemini-3-flash-preview. The official replacement is Gemini 3.6 Flash. Gemini 3.5 Flash-Lite is the lower-cost candidate but requires a real coaching-quality benchmark before switching.</x:v>
      </x:c>
      <x:c r="G3" s="125" t="str">
        <x:v>Current code uses legacy gemini-3-flash-preview. The official replacement is Gemini 3.6 Flash. Gemini 3.5 Flash-Lite is the lower-cost candidate but requires a real coaching-quality benchmark before switching.</x:v>
      </x:c>
      <x:c r="H3" s="125" t="str">
        <x:v>Current code uses legacy gemini-3-flash-preview. The official replacement is Gemini 3.6 Flash. Gemini 3.5 Flash-Lite is the lower-cost candidate but requires a real coaching-quality benchmark before switching.</x:v>
      </x:c>
      <x:c r="I3" s="125" t="str">
        <x:v>Current code uses legacy gemini-3-flash-preview. The official replacement is Gemini 3.6 Flash. Gemini 3.5 Flash-Lite is the lower-cost candidate but requires a real coaching-quality benchmark before switching.</x:v>
      </x:c>
    </x:row>
    <x:row r="4" ht="26" customHeight="1">
      <x:c r="A4" s="126" t="str">
        <x:v>Model</x:v>
      </x:c>
      <x:c r="B4" s="126" t="str">
        <x:v>Status</x:v>
      </x:c>
      <x:c r="C4" s="126" t="str">
        <x:v>Input $/1M</x:v>
      </x:c>
      <x:c r="D4" s="126" t="str">
        <x:v>Output $/1M</x:v>
      </x:c>
      <x:c r="E4" s="126" t="str">
        <x:v>Cost / call</x:v>
      </x:c>
      <x:c r="F4" s="126" t="str">
        <x:v>Cost / paid user / month</x:v>
      </x:c>
      <x:c r="G4" s="126" t="str">
        <x:v>Relative fit</x:v>
      </x:c>
      <x:c r="H4" s="126" t="str">
        <x:v>Decision</x:v>
      </x:c>
      <x:c r="I4" s="126" t="str">
        <x:v>Official source</x:v>
      </x:c>
    </x:row>
    <x:row r="5">
      <x:c r="A5" s="147" t="str">
        <x:v>Gemini 3 Flash Preview</x:v>
      </x:c>
      <x:c r="B5" s="147" t="str">
        <x:v>Legacy in current code</x:v>
      </x:c>
      <x:c r="C5" s="172" t="n">
        <x:v>0.5</x:v>
      </x:c>
      <x:c r="D5" s="172" t="n">
        <x:v>3</x:v>
      </x:c>
      <x:c r="E5" s="172" t="n">
        <x:f>C5*'Assumptions'!$B$15/1000000+D5*'Assumptions'!$B$16/1000000</x:f>
        <x:v>0.00185</x:v>
      </x:c>
      <x:c r="F5" s="172" t="n">
        <x:f>E5*'Assumptions'!$B$14</x:f>
        <x:v>0.018500000000000003</x:v>
      </x:c>
      <x:c r="G5" s="147" t="str">
        <x:v>Current behavior; deprecated path</x:v>
      </x:c>
      <x:c r="H5" s="147" t="str">
        <x:v>Replace</x:v>
      </x:c>
      <x:c r="I5" s="147" t="str">
        <x:v>https://ai.google.dev/gemini-api/docs/pricing</x:v>
      </x:c>
    </x:row>
    <x:row r="6">
      <x:c r="A6" s="173" t="str">
        <x:v>Gemini 3.6 Flash — through 2026</x:v>
      </x:c>
      <x:c r="B6" s="173" t="str">
        <x:v>Official successor</x:v>
      </x:c>
      <x:c r="C6" s="174" t="n">
        <x:v>0.75</x:v>
      </x:c>
      <x:c r="D6" s="174" t="n">
        <x:v>3.75</x:v>
      </x:c>
      <x:c r="E6" s="174" t="n">
        <x:f>C6*'Assumptions'!$B$15/1000000+D6*'Assumptions'!$B$16/1000000</x:f>
        <x:v>0.0026249999999999997</x:v>
      </x:c>
      <x:c r="F6" s="174" t="n">
        <x:f>E6*'Assumptions'!$B$14</x:f>
        <x:v>0.026249999999999996</x:v>
      </x:c>
      <x:c r="G6" s="173" t="str">
        <x:v>Best like-for-like successor</x:v>
      </x:c>
      <x:c r="H6" s="173" t="str">
        <x:v>Base forecast</x:v>
      </x:c>
      <x:c r="I6" s="173" t="str">
        <x:v>https://ai.google.dev/gemini-api/docs/pricing</x:v>
      </x:c>
    </x:row>
    <x:row r="7">
      <x:c r="A7" s="173" t="str">
        <x:v>Gemini 3.6 Flash — 2027 onward</x:v>
      </x:c>
      <x:c r="B7" s="173" t="str">
        <x:v>Official successor</x:v>
      </x:c>
      <x:c r="C7" s="174" t="n">
        <x:v>1.5</x:v>
      </x:c>
      <x:c r="D7" s="174" t="n">
        <x:v>7.5</x:v>
      </x:c>
      <x:c r="E7" s="174" t="n">
        <x:f>C7*'Assumptions'!$B$15/1000000+D7*'Assumptions'!$B$16/1000000</x:f>
        <x:v>0.0052499999999999995</x:v>
      </x:c>
      <x:c r="F7" s="174" t="n">
        <x:f>E7*'Assumptions'!$B$14</x:f>
        <x:v>0.05249999999999999</x:v>
      </x:c>
      <x:c r="G7" s="173" t="str">
        <x:v>Same model; published step-up</x:v>
      </x:c>
      <x:c r="H7" s="173" t="str">
        <x:v>Base forecast from Jan</x:v>
      </x:c>
      <x:c r="I7" s="173" t="str">
        <x:v>https://ai.google.dev/gemini-api/docs/pricing</x:v>
      </x:c>
    </x:row>
    <x:row r="8">
      <x:c r="A8" s="175" t="str">
        <x:v>Gemini 3.5 Flash-Lite</x:v>
      </x:c>
      <x:c r="B8" s="175" t="str">
        <x:v>Current low-cost option</x:v>
      </x:c>
      <x:c r="C8" s="176" t="n">
        <x:v>0.3</x:v>
      </x:c>
      <x:c r="D8" s="176" t="n">
        <x:v>2.5</x:v>
      </x:c>
      <x:c r="E8" s="176" t="n">
        <x:f>C8*'Assumptions'!$B$15/1000000+D8*'Assumptions'!$B$16/1000000</x:f>
        <x:v>0.00125</x:v>
      </x:c>
      <x:c r="F8" s="176" t="n">
        <x:f>E8*'Assumptions'!$B$14</x:f>
        <x:v>0.0125</x:v>
      </x:c>
      <x:c r="G8" s="175" t="str">
        <x:v>Cheaper; quality must be proven</x:v>
      </x:c>
      <x:c r="H8" s="175" t="str">
        <x:v>Benchmark candidate</x:v>
      </x:c>
      <x:c r="I8" s="175" t="str">
        <x:v>https://ai.google.dev/gemini-api/docs/models/gemini-3.5-flash-lite</x:v>
      </x:c>
    </x:row>
    <x:row r="9">
      <x:c r="A9" s="124"/>
      <x:c r="B9" s="124"/>
      <x:c r="C9" s="124"/>
      <x:c r="D9" s="124"/>
      <x:c r="E9" s="124"/>
      <x:c r="F9" s="124"/>
      <x:c r="G9" s="124"/>
      <x:c r="H9" s="124"/>
      <x:c r="I9" s="124"/>
    </x:row>
    <x:row r="10">
      <x:c r="A10" s="124"/>
      <x:c r="B10" s="124"/>
      <x:c r="C10" s="124"/>
      <x:c r="D10" s="124"/>
      <x:c r="E10" s="124"/>
      <x:c r="F10" s="124"/>
      <x:c r="G10" s="124"/>
      <x:c r="H10" s="124"/>
      <x:c r="I10" s="124"/>
    </x:row>
    <x:row r="11" ht="22" customHeight="1">
      <x:c r="A11" s="146" t="str">
        <x:v>Cost sensitivity by AI calls per paid user / month</x:v>
      </x:c>
      <x:c r="B11" s="146" t="str">
        <x:v>Cost sensitivity by AI calls per paid user / month</x:v>
      </x:c>
      <x:c r="C11" s="146" t="str">
        <x:v>Cost sensitivity by AI calls per paid user / month</x:v>
      </x:c>
      <x:c r="D11" s="146" t="str">
        <x:v>Cost sensitivity by AI calls per paid user / month</x:v>
      </x:c>
      <x:c r="E11" s="146" t="str">
        <x:v>Cost sensitivity by AI calls per paid user / month</x:v>
      </x:c>
      <x:c r="F11" s="146" t="str">
        <x:v>Cost sensitivity by AI calls per paid user / month</x:v>
      </x:c>
      <x:c r="G11" s="146" t="str">
        <x:v>Cost sensitivity by AI calls per paid user / month</x:v>
      </x:c>
      <x:c r="H11" s="146" t="str">
        <x:v>Cost sensitivity by AI calls per paid user / month</x:v>
      </x:c>
      <x:c r="I11" s="146" t="str">
        <x:v>Cost sensitivity by AI calls per paid user / month</x:v>
      </x:c>
    </x:row>
    <x:row r="12" ht="26" customHeight="1">
      <x:c r="A12" s="126" t="str">
        <x:v>Calls / month</x:v>
      </x:c>
      <x:c r="B12" s="126" t="str">
        <x:v>Legacy 3 Flash</x:v>
      </x:c>
      <x:c r="C12" s="126" t="str">
        <x:v>3.6 Flash 2026</x:v>
      </x:c>
      <x:c r="D12" s="126" t="str">
        <x:v>3.6 Flash 2027</x:v>
      </x:c>
      <x:c r="E12" s="126" t="str">
        <x:v>3.5 Flash-Lite</x:v>
      </x:c>
      <x:c r="F12" s="124"/>
      <x:c r="G12" s="124"/>
      <x:c r="H12" s="124"/>
      <x:c r="I12" s="124"/>
    </x:row>
    <x:row r="13">
      <x:c r="A13" s="147" t="n">
        <x:v>5</x:v>
      </x:c>
      <x:c r="B13" s="177" t="n">
        <x:f>$A13*$E$5</x:f>
        <x:v>0.009250000000000001</x:v>
      </x:c>
      <x:c r="C13" s="177" t="n">
        <x:f>$A13*$E$6</x:f>
        <x:v>0.013124999999999998</x:v>
      </x:c>
      <x:c r="D13" s="177" t="n">
        <x:f>$A13*$E$7</x:f>
        <x:v>0.026249999999999996</x:v>
      </x:c>
      <x:c r="E13" s="177" t="n">
        <x:f>$A13*$E$8</x:f>
        <x:v>0.00625</x:v>
      </x:c>
      <x:c r="F13" s="124"/>
      <x:c r="G13" s="124"/>
      <x:c r="H13" s="124"/>
      <x:c r="I13" s="124"/>
    </x:row>
    <x:row r="14">
      <x:c r="A14" s="149" t="n">
        <x:v>10</x:v>
      </x:c>
      <x:c r="B14" s="178" t="n">
        <x:f>$A14*$E$5</x:f>
        <x:v>0.018500000000000003</x:v>
      </x:c>
      <x:c r="C14" s="178" t="n">
        <x:f>$A14*$E$6</x:f>
        <x:v>0.026249999999999996</x:v>
      </x:c>
      <x:c r="D14" s="178" t="n">
        <x:f>$A14*$E$7</x:f>
        <x:v>0.05249999999999999</x:v>
      </x:c>
      <x:c r="E14" s="178" t="n">
        <x:f>$A14*$E$8</x:f>
        <x:v>0.0125</x:v>
      </x:c>
      <x:c r="F14" s="124"/>
      <x:c r="G14" s="124"/>
      <x:c r="H14" s="124"/>
      <x:c r="I14" s="124"/>
    </x:row>
    <x:row r="15">
      <x:c r="A15" s="149" t="n">
        <x:v>20</x:v>
      </x:c>
      <x:c r="B15" s="178" t="n">
        <x:f>$A15*$E$5</x:f>
        <x:v>0.037000000000000005</x:v>
      </x:c>
      <x:c r="C15" s="178" t="n">
        <x:f>$A15*$E$6</x:f>
        <x:v>0.05249999999999999</x:v>
      </x:c>
      <x:c r="D15" s="178" t="n">
        <x:f>$A15*$E$7</x:f>
        <x:v>0.10499999999999998</x:v>
      </x:c>
      <x:c r="E15" s="178" t="n">
        <x:f>$A15*$E$8</x:f>
        <x:v>0.025</x:v>
      </x:c>
      <x:c r="F15" s="124"/>
      <x:c r="G15" s="124"/>
      <x:c r="H15" s="124"/>
      <x:c r="I15" s="124"/>
    </x:row>
    <x:row r="16">
      <x:c r="A16" s="151" t="n">
        <x:v>40</x:v>
      </x:c>
      <x:c r="B16" s="179" t="n">
        <x:f>$A16*$E$5</x:f>
        <x:v>0.07400000000000001</x:v>
      </x:c>
      <x:c r="C16" s="179" t="n">
        <x:f>$A16*$E$6</x:f>
        <x:v>0.10499999999999998</x:v>
      </x:c>
      <x:c r="D16" s="179" t="n">
        <x:f>$A16*$E$7</x:f>
        <x:v>0.20999999999999996</x:v>
      </x:c>
      <x:c r="E16" s="179" t="n">
        <x:f>$A16*$E$8</x:f>
        <x:v>0.05</x:v>
      </x:c>
      <x:c r="F16" s="124"/>
      <x:c r="G16" s="124"/>
      <x:c r="H16" s="124"/>
      <x:c r="I16" s="124"/>
    </x:row>
    <x:row r="17">
      <x:c r="A17" s="124"/>
      <x:c r="B17" s="124"/>
      <x:c r="C17" s="124"/>
      <x:c r="D17" s="124"/>
      <x:c r="E17" s="124"/>
      <x:c r="F17" s="124"/>
      <x:c r="G17" s="124"/>
      <x:c r="H17" s="124"/>
      <x:c r="I17" s="124"/>
    </x:row>
    <x:row r="18">
      <x:c r="A18" s="124"/>
      <x:c r="B18" s="124"/>
      <x:c r="C18" s="124"/>
      <x:c r="D18" s="124"/>
      <x:c r="E18" s="124"/>
      <x:c r="F18" s="124"/>
      <x:c r="G18" s="124"/>
      <x:c r="H18" s="124"/>
      <x:c r="I18" s="124"/>
    </x:row>
    <x:row r="19">
      <x:c r="A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B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C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D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E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F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G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H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I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</x:row>
    <x:row r="20">
      <x:c r="A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B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C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D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E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F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G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H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I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</x:row>
    <x:row r="21">
      <x:c r="A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B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C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D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E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F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G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H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I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</x:row>
  </x:sheetData>
  <x:mergeCells>
    <x:mergeCell ref="A1:I1"/>
    <x:mergeCell ref="A2:I3"/>
    <x:mergeCell ref="A11:I11"/>
    <x:mergeCell ref="A19:I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5" hidden="0" customWidth="1"/>
    <x:col min="8" max="8" width="44" hidden="0" customWidth="1"/>
  </x:cols>
  <x:sheetData>
    <x:row r="1" ht="34" customHeight="1">
      <x:c r="A1" s="123" t="str">
        <x:v>Prior model reconstruction and reconciliation</x:v>
      </x:c>
      <x:c r="B1" s="123" t="str">
        <x:v>Prior model reconstruction and reconciliation</x:v>
      </x:c>
      <x:c r="C1" s="123" t="str">
        <x:v>Prior model reconstruction and reconciliation</x:v>
      </x:c>
      <x:c r="D1" s="123" t="str">
        <x:v>Prior model reconstruction and reconciliation</x:v>
      </x:c>
      <x:c r="E1" s="123" t="str">
        <x:v>Prior model reconstruction and reconciliation</x:v>
      </x:c>
      <x:c r="F1" s="123" t="str">
        <x:v>Prior model reconstruction and reconciliation</x:v>
      </x:c>
      <x:c r="G1" s="123" t="str">
        <x:v>Prior model reconstruction and reconciliation</x:v>
      </x:c>
      <x:c r="H1" s="123" t="str">
        <x:v>Prior model reconstruction and reconciliation</x:v>
      </x:c>
    </x:row>
    <x:row r="2" ht="32" customHeight="1">
      <x:c r="A2" s="125" t="str">
        <x:v>Historical numbers are preserved as previously stated; recalculated rows expose where a prior conclusion did not tie to its own assumptions.</x:v>
      </x:c>
      <x:c r="B2" s="125" t="str">
        <x:v>Historical numbers are preserved as previously stated; recalculated rows expose where a prior conclusion did not tie to its own assumptions.</x:v>
      </x:c>
      <x:c r="C2" s="125" t="str">
        <x:v>Historical numbers are preserved as previously stated; recalculated rows expose where a prior conclusion did not tie to its own assumptions.</x:v>
      </x:c>
      <x:c r="D2" s="125" t="str">
        <x:v>Historical numbers are preserved as previously stated; recalculated rows expose where a prior conclusion did not tie to its own assumptions.</x:v>
      </x:c>
      <x:c r="E2" s="125" t="str">
        <x:v>Historical numbers are preserved as previously stated; recalculated rows expose where a prior conclusion did not tie to its own assumptions.</x:v>
      </x:c>
      <x:c r="F2" s="125" t="str">
        <x:v>Historical numbers are preserved as previously stated; recalculated rows expose where a prior conclusion did not tie to its own assumptions.</x:v>
      </x:c>
      <x:c r="G2" s="125" t="str">
        <x:v>Historical numbers are preserved as previously stated; recalculated rows expose where a prior conclusion did not tie to its own assumptions.</x:v>
      </x:c>
      <x:c r="H2" s="125" t="str">
        <x:v>Historical numbers are preserved as previously stated; recalculated rows expose where a prior conclusion did not tie to its own assumptions.</x:v>
      </x:c>
    </x:row>
    <x:row r="3" ht="32" customHeight="1">
      <x:c r="A3" s="125" t="str">
        <x:v>Historical numbers are preserved as previously stated; recalculated rows expose where a prior conclusion did not tie to its own assumptions.</x:v>
      </x:c>
      <x:c r="B3" s="125" t="str">
        <x:v>Historical numbers are preserved as previously stated; recalculated rows expose where a prior conclusion did not tie to its own assumptions.</x:v>
      </x:c>
      <x:c r="C3" s="125" t="str">
        <x:v>Historical numbers are preserved as previously stated; recalculated rows expose where a prior conclusion did not tie to its own assumptions.</x:v>
      </x:c>
      <x:c r="D3" s="125" t="str">
        <x:v>Historical numbers are preserved as previously stated; recalculated rows expose where a prior conclusion did not tie to its own assumptions.</x:v>
      </x:c>
      <x:c r="E3" s="125" t="str">
        <x:v>Historical numbers are preserved as previously stated; recalculated rows expose where a prior conclusion did not tie to its own assumptions.</x:v>
      </x:c>
      <x:c r="F3" s="125" t="str">
        <x:v>Historical numbers are preserved as previously stated; recalculated rows expose where a prior conclusion did not tie to its own assumptions.</x:v>
      </x:c>
      <x:c r="G3" s="125" t="str">
        <x:v>Historical numbers are preserved as previously stated; recalculated rows expose where a prior conclusion did not tie to its own assumptions.</x:v>
      </x:c>
      <x:c r="H3" s="125" t="str">
        <x:v>Historical numbers are preserved as previously stated; recalculated rows expose where a prior conclusion did not tie to its own assumptions.</x:v>
      </x:c>
    </x:row>
    <x:row r="4" ht="26" customHeight="1">
      <x:c r="A4" s="126" t="str">
        <x:v>Metric</x:v>
      </x:c>
      <x:c r="B4" s="126" t="str">
        <x:v>Feb 1 original</x:v>
      </x:c>
      <x:c r="C4" s="126" t="str">
        <x:v>Feb 23 revised</x:v>
      </x:c>
      <x:c r="D4" s="126" t="str">
        <x:v>Archive lean</x:v>
      </x:c>
      <x:c r="E4" s="126" t="str">
        <x:v>Current lean</x:v>
      </x:c>
      <x:c r="F4" s="126" t="str">
        <x:v>Current monitored</x:v>
      </x:c>
      <x:c r="G4" s="126" t="str">
        <x:v>Comparison basis</x:v>
      </x:c>
      <x:c r="H4" s="126" t="str">
        <x:v>Conclusion</x:v>
      </x:c>
    </x:row>
    <x:row r="5">
      <x:c r="A5" s="147" t="str">
        <x:v>Monthly price</x:v>
      </x:c>
      <x:c r="B5" s="180" t="n">
        <x:v>7.99</x:v>
      </x:c>
      <x:c r="C5" s="180" t="n">
        <x:v>14.99</x:v>
      </x:c>
      <x:c r="D5" s="180" t="n">
        <x:v>7.99</x:v>
      </x:c>
      <x:c r="E5" s="180" t="n">
        <x:f>'Assumptions'!B13</x:f>
        <x:v>10</x:v>
      </x:c>
      <x:c r="F5" s="180" t="n">
        <x:f>'Assumptions'!B13</x:f>
        <x:v>10</x:v>
      </x:c>
      <x:c r="G5" s="147" t="str">
        <x:v>USD / paid user</x:v>
      </x:c>
      <x:c r="H5" s="147" t="str">
        <x:v>Current is lower than Feb 23</x:v>
      </x:c>
    </x:row>
    <x:row r="6">
      <x:c r="A6" s="149" t="str">
        <x:v>Conversion</x:v>
      </x:c>
      <x:c r="B6" s="164" t="n">
        <x:v>0.02</x:v>
      </x:c>
      <x:c r="C6" s="164" t="n">
        <x:v>0.02</x:v>
      </x:c>
      <x:c r="D6" s="164" t="n">
        <x:v>0.02</x:v>
      </x:c>
      <x:c r="E6" s="164" t="n">
        <x:f>'Assumptions'!B8</x:f>
        <x:v>0.02</x:v>
      </x:c>
      <x:c r="F6" s="164" t="n">
        <x:f>'Assumptions'!B8</x:f>
        <x:v>0.02</x:v>
      </x:c>
      <x:c r="G6" s="149" t="str">
        <x:v>% of new trials</x:v>
      </x:c>
      <x:c r="H6" s="149" t="str">
        <x:v>Same assumption</x:v>
      </x:c>
    </x:row>
    <x:row r="7">
      <x:c r="A7" s="149" t="str">
        <x:v>New paid users / month</x:v>
      </x:c>
      <x:c r="B7" s="149" t="n">
        <x:v>10</x:v>
      </x:c>
      <x:c r="C7" s="149" t="n">
        <x:v>10</x:v>
      </x:c>
      <x:c r="D7" s="149" t="n">
        <x:v>10</x:v>
      </x:c>
      <x:c r="E7" s="149" t="n">
        <x:f>'Assumptions'!B10</x:f>
        <x:v>10</x:v>
      </x:c>
      <x:c r="F7" s="149" t="n">
        <x:f>'Assumptions'!B10</x:f>
        <x:v>10</x:v>
      </x:c>
      <x:c r="G7" s="149" t="str">
        <x:v>Users</x:v>
      </x:c>
      <x:c r="H7" s="149" t="str">
        <x:v>Same ramp; current starts after trial</x:v>
      </x:c>
    </x:row>
    <x:row r="8">
      <x:c r="A8" s="149" t="str">
        <x:v>Paid lifetime</x:v>
      </x:c>
      <x:c r="B8" s="149" t="n">
        <x:v>6</x:v>
      </x:c>
      <x:c r="C8" s="149" t="n">
        <x:v>6</x:v>
      </x:c>
      <x:c r="D8" s="149" t="n">
        <x:v>6</x:v>
      </x:c>
      <x:c r="E8" s="149" t="n">
        <x:f>'Assumptions'!B11</x:f>
        <x:v>6</x:v>
      </x:c>
      <x:c r="F8" s="149" t="n">
        <x:f>'Assumptions'!B11</x:f>
        <x:v>6</x:v>
      </x:c>
      <x:c r="G8" s="149" t="str">
        <x:v>Months</x:v>
      </x:c>
      <x:c r="H8" s="149" t="str">
        <x:v>Same assumption</x:v>
      </x:c>
    </x:row>
    <x:row r="9">
      <x:c r="A9" s="149" t="str">
        <x:v>Fixed software OpEx</x:v>
      </x:c>
      <x:c r="B9" s="181" t="n">
        <x:v>25</x:v>
      </x:c>
      <x:c r="C9" s="181" t="n">
        <x:v>94</x:v>
      </x:c>
      <x:c r="D9" s="181" t="n">
        <x:v>45</x:v>
      </x:c>
      <x:c r="E9" s="181" t="n">
        <x:f>'Assumptions'!B25</x:f>
        <x:v>45</x:v>
      </x:c>
      <x:c r="F9" s="181" t="n">
        <x:f>'Assumptions'!B26</x:f>
        <x:v>71</x:v>
      </x:c>
      <x:c r="G9" s="149" t="str">
        <x:v>USD / month</x:v>
      </x:c>
      <x:c r="H9" s="149" t="str">
        <x:v>Current lean is $49 below Feb 23</x:v>
      </x:c>
    </x:row>
    <x:row r="10">
      <x:c r="A10" s="149" t="str">
        <x:v>Variable cost / paid user</x:v>
      </x:c>
      <x:c r="B10" s="181" t="n">
        <x:v>0.89</x:v>
      </x:c>
      <x:c r="C10" s="181" t="n">
        <x:v>5.51</x:v>
      </x:c>
      <x:c r="D10" s="181" t="n">
        <x:v>2.45</x:v>
      </x:c>
      <x:c r="E10" s="181" t="n">
        <x:f>'Assumptions'!B13-'Unit Economics'!B11</x:f>
        <x:v>0.7125000000000004</x:v>
      </x:c>
      <x:c r="F10" s="181" t="n">
        <x:f>'Assumptions'!B13-'Unit Economics'!B11</x:f>
        <x:v>0.7125000000000004</x:v>
      </x:c>
      <x:c r="G10" s="149" t="str">
        <x:v>USD / month</x:v>
      </x:c>
      <x:c r="H10" s="149" t="str">
        <x:v>Private STT removes cloud-STT cost</x:v>
      </x:c>
    </x:row>
    <x:row r="11">
      <x:c r="A11" s="149" t="str">
        <x:v>Contribution / paid user</x:v>
      </x:c>
      <x:c r="B11" s="181" t="n">
        <x:v>7.1</x:v>
      </x:c>
      <x:c r="C11" s="181" t="n">
        <x:v>9.48</x:v>
      </x:c>
      <x:c r="D11" s="181" t="n">
        <x:v>5.54</x:v>
      </x:c>
      <x:c r="E11" s="181" t="n">
        <x:f>'Unit Economics'!B11</x:f>
        <x:v>9.2875</x:v>
      </x:c>
      <x:c r="F11" s="181" t="n">
        <x:f>'Unit Economics'!B11</x:f>
        <x:v>9.2875</x:v>
      </x:c>
      <x:c r="G11" s="149" t="str">
        <x:v>USD / month</x:v>
      </x:c>
      <x:c r="H11" s="149" t="str">
        <x:v>Current nearly matches Feb 23 at lower price</x:v>
      </x:c>
    </x:row>
    <x:row r="12">
      <x:c r="A12" s="149" t="str">
        <x:v>Reported LTV</x:v>
      </x:c>
      <x:c r="B12" s="181" t="n">
        <x:v>44</x:v>
      </x:c>
      <x:c r="C12" s="181" t="n">
        <x:v>85</x:v>
      </x:c>
      <x:c r="D12" s="181"/>
      <x:c r="E12" s="181"/>
      <x:c r="F12" s="181"/>
      <x:c r="G12" s="149" t="str">
        <x:v>USD</x:v>
      </x:c>
      <x:c r="H12" s="149" t="str">
        <x:v>Historical stated value</x:v>
      </x:c>
    </x:row>
    <x:row r="13">
      <x:c r="A13" s="182" t="str">
        <x:v>Recalculated 6-month LTV</x:v>
      </x:c>
      <x:c r="B13" s="183" t="n">
        <x:f>B11*B8</x:f>
        <x:v>42.599999999999994</x:v>
      </x:c>
      <x:c r="C13" s="183" t="n">
        <x:f>C11*C8</x:f>
        <x:v>56.88</x:v>
      </x:c>
      <x:c r="D13" s="183" t="n">
        <x:f>D11*D8</x:f>
        <x:v>33.24</x:v>
      </x:c>
      <x:c r="E13" s="183" t="n">
        <x:f>'Unit Economics'!B15</x:f>
        <x:v>55.724999999999994</x:v>
      </x:c>
      <x:c r="F13" s="183" t="n">
        <x:f>'Unit Economics'!B15</x:f>
        <x:v>55.724999999999994</x:v>
      </x:c>
      <x:c r="G13" s="182" t="str">
        <x:v>Contribution × 6</x:v>
      </x:c>
      <x:c r="H13" s="182" t="str">
        <x:v>Feb 23 $85 did not reconcile</x:v>
      </x:c>
    </x:row>
    <x:row r="14">
      <x:c r="A14" s="182" t="str">
        <x:v>Reported CAC target</x:v>
      </x:c>
      <x:c r="B14" s="183"/>
      <x:c r="C14" s="183" t="n">
        <x:v>28</x:v>
      </x:c>
      <x:c r="D14" s="183"/>
      <x:c r="E14" s="183"/>
      <x:c r="F14" s="183"/>
      <x:c r="G14" s="182" t="str">
        <x:v>USD</x:v>
      </x:c>
      <x:c r="H14" s="182" t="str">
        <x:v>Based on reported $85 LTV</x:v>
      </x:c>
    </x:row>
    <x:row r="15">
      <x:c r="A15" s="182" t="str">
        <x:v>Recalculated 3:1 CAC ceiling</x:v>
      </x:c>
      <x:c r="B15" s="183" t="n">
        <x:f>B13/3</x:f>
        <x:v>14.199999999999998</x:v>
      </x:c>
      <x:c r="C15" s="183" t="n">
        <x:f>C13/3</x:f>
        <x:v>18.96</x:v>
      </x:c>
      <x:c r="D15" s="183" t="n">
        <x:f>D13/3</x:f>
        <x:v>11.08</x:v>
      </x:c>
      <x:c r="E15" s="183" t="n">
        <x:f>'Unit Economics'!B16</x:f>
        <x:v>18.575</x:v>
      </x:c>
      <x:c r="F15" s="183" t="n">
        <x:f>'Unit Economics'!B16</x:f>
        <x:v>18.575</x:v>
      </x:c>
      <x:c r="G15" s="182" t="str">
        <x:v>USD</x:v>
      </x:c>
      <x:c r="H15" s="182" t="str">
        <x:v>Use formula-driven value</x:v>
      </x:c>
    </x:row>
    <x:row r="16">
      <x:c r="A16" s="149" t="str">
        <x:v>Reported break-even paid users</x:v>
      </x:c>
      <x:c r="B16" s="184"/>
      <x:c r="C16" s="184" t="n">
        <x:v>10</x:v>
      </x:c>
      <x:c r="D16" s="184" t="n">
        <x:v>13</x:v>
      </x:c>
      <x:c r="E16" s="184"/>
      <x:c r="F16" s="184"/>
      <x:c r="G16" s="149" t="str">
        <x:v>Users</x:v>
      </x:c>
      <x:c r="H16" s="149" t="str">
        <x:v>Archive lean claim was high</x:v>
      </x:c>
    </x:row>
    <x:row r="17">
      <x:c r="A17" s="185" t="str">
        <x:v>Recalculated break-even paid users</x:v>
      </x:c>
      <x:c r="B17" s="186" t="n">
        <x:f>CEILING(B9/B11,1)</x:f>
        <x:v>4</x:v>
      </x:c>
      <x:c r="C17" s="186" t="n">
        <x:f>CEILING(C9/C11,1)</x:f>
        <x:v>10</x:v>
      </x:c>
      <x:c r="D17" s="186" t="n">
        <x:f>CEILING(D9/D11,1)</x:f>
        <x:v>9</x:v>
      </x:c>
      <x:c r="E17" s="186" t="n">
        <x:f>'Unit Economics'!B13</x:f>
        <x:v>5</x:v>
      </x:c>
      <x:c r="F17" s="186" t="n">
        <x:f>'Unit Economics'!B14</x:f>
        <x:v>8</x:v>
      </x:c>
      <x:c r="G17" s="185" t="str">
        <x:v>Users</x:v>
      </x:c>
      <x:c r="H17" s="185" t="str">
        <x:v>Fixed OpEx ÷ contribution, rounded up</x:v>
      </x:c>
    </x:row>
    <x:row r="18">
      <x:c r="A18" s="124"/>
      <x:c r="B18" s="124"/>
      <x:c r="C18" s="124"/>
      <x:c r="D18" s="124"/>
      <x:c r="E18" s="124"/>
      <x:c r="F18" s="124"/>
      <x:c r="G18" s="124"/>
      <x:c r="H18" s="124"/>
    </x:row>
    <x:row r="19">
      <x:c r="A19" s="124"/>
      <x:c r="B19" s="124"/>
      <x:c r="C19" s="124"/>
      <x:c r="D19" s="124"/>
      <x:c r="E19" s="124"/>
      <x:c r="F19" s="124"/>
      <x:c r="G19" s="124"/>
      <x:c r="H19" s="124"/>
    </x:row>
    <x:row r="20">
      <x:c r="A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  <x:row r="21">
      <x:c r="A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  <x:row r="22">
      <x:c r="A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  <x:row r="23">
      <x:c r="A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</x:sheetData>
  <x:mergeCells>
    <x:mergeCell ref="A1:H1"/>
    <x:mergeCell ref="A2:H3"/>
    <x:mergeCell ref="A20:H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123" t="str">
        <x:v>12-month forecast — same growth ramp, current cash timing</x:v>
      </x:c>
      <x:c r="B1" s="123" t="str">
        <x:v>12-month forecast — same growth ramp, current cash timing</x:v>
      </x:c>
      <x:c r="C1" s="123" t="str">
        <x:v>12-month forecast — same growth ramp, current cash timing</x:v>
      </x:c>
      <x:c r="D1" s="123" t="str">
        <x:v>12-month forecast — same growth ramp, current cash timing</x:v>
      </x:c>
      <x:c r="E1" s="123" t="str">
        <x:v>12-month forecast — same growth ramp, current cash timing</x:v>
      </x:c>
      <x:c r="F1" s="123" t="str">
        <x:v>12-month forecast — same growth ramp, current cash timing</x:v>
      </x:c>
      <x:c r="G1" s="123" t="str">
        <x:v>12-month forecast — same growth ramp, current cash timing</x:v>
      </x:c>
      <x:c r="H1" s="123" t="str">
        <x:v>12-month forecast — same growth ramp, current cash timing</x:v>
      </x:c>
      <x:c r="I1" s="123" t="str">
        <x:v>12-month forecast — same growth ramp, current cash timing</x:v>
      </x:c>
      <x:c r="J1" s="123" t="str">
        <x:v>12-month forecast — same growth ramp, current cash timing</x:v>
      </x:c>
      <x:c r="K1" s="123" t="str">
        <x:v>12-month forecast — same growth ramp, current cash timing</x:v>
      </x:c>
      <x:c r="L1" s="123" t="str">
        <x:v>12-month forecast — same growth ramp, current cash timing</x:v>
      </x:c>
      <x:c r="M1" s="123" t="str">
        <x:v>12-month forecast — same growth ramp, current cash timing</x:v>
      </x:c>
    </x:row>
    <x:row r="2" ht="32" customHeight="1">
      <x:c r="A2" s="125" t="str">
        <x:v>500 new trials/month × 2% conversion = 10 new paid users/month. Each paid cohort remains for six months. Current plans have a one-month trial delay; historical comparison does not.</x:v>
      </x:c>
      <x:c r="B2" s="125" t="str">
        <x:v>500 new trials/month × 2% conversion = 10 new paid users/month. Each paid cohort remains for six months. Current plans have a one-month trial delay; historical comparison does not.</x:v>
      </x:c>
      <x:c r="C2" s="125" t="str">
        <x:v>500 new trials/month × 2% conversion = 10 new paid users/month. Each paid cohort remains for six months. Current plans have a one-month trial delay; historical comparison does not.</x:v>
      </x:c>
      <x:c r="D2" s="125" t="str">
        <x:v>500 new trials/month × 2% conversion = 10 new paid users/month. Each paid cohort remains for six months. Current plans have a one-month trial delay; historical comparison does not.</x:v>
      </x:c>
      <x:c r="E2" s="125" t="str">
        <x:v>500 new trials/month × 2% conversion = 10 new paid users/month. Each paid cohort remains for six months. Current plans have a one-month trial delay; historical comparison does not.</x:v>
      </x:c>
      <x:c r="F2" s="125" t="str">
        <x:v>500 new trials/month × 2% conversion = 10 new paid users/month. Each paid cohort remains for six months. Current plans have a one-month trial delay; historical comparison does not.</x:v>
      </x:c>
      <x:c r="G2" s="125" t="str">
        <x:v>500 new trials/month × 2% conversion = 10 new paid users/month. Each paid cohort remains for six months. Current plans have a one-month trial delay; historical comparison does not.</x:v>
      </x:c>
      <x:c r="H2" s="125" t="str">
        <x:v>500 new trials/month × 2% conversion = 10 new paid users/month. Each paid cohort remains for six months. Current plans have a one-month trial delay; historical comparison does not.</x:v>
      </x:c>
      <x:c r="I2" s="125" t="str">
        <x:v>500 new trials/month × 2% conversion = 10 new paid users/month. Each paid cohort remains for six months. Current plans have a one-month trial delay; historical comparison does not.</x:v>
      </x:c>
      <x:c r="J2" s="125" t="str">
        <x:v>500 new trials/month × 2% conversion = 10 new paid users/month. Each paid cohort remains for six months. Current plans have a one-month trial delay; historical comparison does not.</x:v>
      </x:c>
      <x:c r="K2" s="125" t="str">
        <x:v>500 new trials/month × 2% conversion = 10 new paid users/month. Each paid cohort remains for six months. Current plans have a one-month trial delay; historical comparison does not.</x:v>
      </x:c>
      <x:c r="L2" s="125" t="str">
        <x:v>500 new trials/month × 2% conversion = 10 new paid users/month. Each paid cohort remains for six months. Current plans have a one-month trial delay; historical comparison does not.</x:v>
      </x:c>
      <x:c r="M2" s="125" t="str">
        <x:v>500 new trials/month × 2% conversion = 10 new paid users/month. Each paid cohort remains for six months. Current plans have a one-month trial delay; historical comparison does not.</x:v>
      </x:c>
    </x:row>
    <x:row r="3" ht="26" customHeight="1">
      <x:c r="A3" s="126" t="str">
        <x:v>Month #</x:v>
      </x:c>
      <x:c r="B3" s="126" t="n">
        <x:v>1</x:v>
      </x:c>
      <x:c r="C3" s="126" t="n">
        <x:v>2</x:v>
      </x:c>
      <x:c r="D3" s="126" t="n">
        <x:v>3</x:v>
      </x:c>
      <x:c r="E3" s="126" t="n">
        <x:v>4</x:v>
      </x:c>
      <x:c r="F3" s="126" t="n">
        <x:v>5</x:v>
      </x:c>
      <x:c r="G3" s="126" t="n">
        <x:v>6</x:v>
      </x:c>
      <x:c r="H3" s="126" t="n">
        <x:v>7</x:v>
      </x:c>
      <x:c r="I3" s="126" t="n">
        <x:v>8</x:v>
      </x:c>
      <x:c r="J3" s="126" t="n">
        <x:v>9</x:v>
      </x:c>
      <x:c r="K3" s="126" t="n">
        <x:v>10</x:v>
      </x:c>
      <x:c r="L3" s="126" t="n">
        <x:v>11</x:v>
      </x:c>
      <x:c r="M3" s="126" t="n">
        <x:v>12</x:v>
      </x:c>
    </x:row>
    <x:row r="4" ht="26" customHeight="1">
      <x:c r="A4" s="126" t="str">
        <x:v>Period</x:v>
      </x:c>
      <x:c r="B4" s="188" t="n">
        <x:f>EDATE('Assumptions'!$B$6,0)</x:f>
        <x:v>46266</x:v>
      </x:c>
      <x:c r="C4" s="188" t="n">
        <x:f>EDATE('Assumptions'!$B$6,1)</x:f>
        <x:v>46296</x:v>
      </x:c>
      <x:c r="D4" s="188" t="n">
        <x:f>EDATE('Assumptions'!$B$6,2)</x:f>
        <x:v>46327</x:v>
      </x:c>
      <x:c r="E4" s="188" t="n">
        <x:f>EDATE('Assumptions'!$B$6,3)</x:f>
        <x:v>46357</x:v>
      </x:c>
      <x:c r="F4" s="188" t="n">
        <x:f>EDATE('Assumptions'!$B$6,4)</x:f>
        <x:v>46388</x:v>
      </x:c>
      <x:c r="G4" s="188" t="n">
        <x:f>EDATE('Assumptions'!$B$6,5)</x:f>
        <x:v>46419</x:v>
      </x:c>
      <x:c r="H4" s="188" t="n">
        <x:f>EDATE('Assumptions'!$B$6,6)</x:f>
        <x:v>46447</x:v>
      </x:c>
      <x:c r="I4" s="188" t="n">
        <x:f>EDATE('Assumptions'!$B$6,7)</x:f>
        <x:v>46478</x:v>
      </x:c>
      <x:c r="J4" s="188" t="n">
        <x:f>EDATE('Assumptions'!$B$6,8)</x:f>
        <x:v>46508</x:v>
      </x:c>
      <x:c r="K4" s="188" t="n">
        <x:f>EDATE('Assumptions'!$B$6,9)</x:f>
        <x:v>46539</x:v>
      </x:c>
      <x:c r="L4" s="188" t="n">
        <x:f>EDATE('Assumptions'!$B$6,10)</x:f>
        <x:v>46569</x:v>
      </x:c>
      <x:c r="M4" s="188" t="n">
        <x:f>EDATE('Assumptions'!$B$6,11)</x:f>
        <x:v>46600</x:v>
      </x:c>
    </x:row>
    <x:row r="5">
      <x:c r="A5" s="124"/>
      <x:c r="B5" s="124"/>
      <x:c r="C5" s="124"/>
      <x:c r="D5" s="124"/>
      <x:c r="E5" s="124"/>
      <x:c r="F5" s="124"/>
      <x:c r="G5" s="124"/>
      <x:c r="H5" s="124"/>
      <x:c r="I5" s="124"/>
      <x:c r="J5" s="124"/>
      <x:c r="K5" s="124"/>
      <x:c r="L5" s="124"/>
      <x:c r="M5" s="124"/>
    </x:row>
    <x:row r="6" ht="22" customHeight="1">
      <x:c r="A6" s="146" t="str">
        <x:v>Historical Feb 23 comparison — 10 new paid users begin immediately</x:v>
      </x:c>
      <x:c r="B6" s="146" t="str">
        <x:v>Historical Feb 23 comparison — 10 new paid users begin immediately</x:v>
      </x:c>
      <x:c r="C6" s="146" t="str">
        <x:v>Historical Feb 23 comparison — 10 new paid users begin immediately</x:v>
      </x:c>
      <x:c r="D6" s="146" t="str">
        <x:v>Historical Feb 23 comparison — 10 new paid users begin immediately</x:v>
      </x:c>
      <x:c r="E6" s="146" t="str">
        <x:v>Historical Feb 23 comparison — 10 new paid users begin immediately</x:v>
      </x:c>
      <x:c r="F6" s="146" t="str">
        <x:v>Historical Feb 23 comparison — 10 new paid users begin immediately</x:v>
      </x:c>
      <x:c r="G6" s="146" t="str">
        <x:v>Historical Feb 23 comparison — 10 new paid users begin immediately</x:v>
      </x:c>
      <x:c r="H6" s="146" t="str">
        <x:v>Historical Feb 23 comparison — 10 new paid users begin immediately</x:v>
      </x:c>
      <x:c r="I6" s="146" t="str">
        <x:v>Historical Feb 23 comparison — 10 new paid users begin immediately</x:v>
      </x:c>
      <x:c r="J6" s="146" t="str">
        <x:v>Historical Feb 23 comparison — 10 new paid users begin immediately</x:v>
      </x:c>
      <x:c r="K6" s="146" t="str">
        <x:v>Historical Feb 23 comparison — 10 new paid users begin immediately</x:v>
      </x:c>
      <x:c r="L6" s="146" t="str">
        <x:v>Historical Feb 23 comparison — 10 new paid users begin immediately</x:v>
      </x:c>
      <x:c r="M6" s="146" t="str">
        <x:v>Historical Feb 23 comparison — 10 new paid users begin immediately</x:v>
      </x:c>
    </x:row>
    <x:row r="7">
      <x:c r="A7" s="147" t="str">
        <x:v>Active paid users</x:v>
      </x:c>
      <x:c r="B7" s="189" t="n">
        <x:f>MIN(B$3,'Assumptions'!$C$39)*'Assumptions'!$C$38</x:f>
        <x:v>10</x:v>
      </x:c>
      <x:c r="C7" s="189" t="n">
        <x:f>MIN(C$3,'Assumptions'!$C$39)*'Assumptions'!$C$38</x:f>
        <x:v>20</x:v>
      </x:c>
      <x:c r="D7" s="189" t="n">
        <x:f>MIN(D$3,'Assumptions'!$C$39)*'Assumptions'!$C$38</x:f>
        <x:v>30</x:v>
      </x:c>
      <x:c r="E7" s="189" t="n">
        <x:f>MIN(E$3,'Assumptions'!$C$39)*'Assumptions'!$C$38</x:f>
        <x:v>40</x:v>
      </x:c>
      <x:c r="F7" s="189" t="n">
        <x:f>MIN(F$3,'Assumptions'!$C$39)*'Assumptions'!$C$38</x:f>
        <x:v>50</x:v>
      </x:c>
      <x:c r="G7" s="189" t="n">
        <x:f>MIN(G$3,'Assumptions'!$C$39)*'Assumptions'!$C$38</x:f>
        <x:v>60</x:v>
      </x:c>
      <x:c r="H7" s="189" t="n">
        <x:f>MIN(H$3,'Assumptions'!$C$39)*'Assumptions'!$C$38</x:f>
        <x:v>60</x:v>
      </x:c>
      <x:c r="I7" s="189" t="n">
        <x:f>MIN(I$3,'Assumptions'!$C$39)*'Assumptions'!$C$38</x:f>
        <x:v>60</x:v>
      </x:c>
      <x:c r="J7" s="189" t="n">
        <x:f>MIN(J$3,'Assumptions'!$C$39)*'Assumptions'!$C$38</x:f>
        <x:v>60</x:v>
      </x:c>
      <x:c r="K7" s="189" t="n">
        <x:f>MIN(K$3,'Assumptions'!$C$39)*'Assumptions'!$C$38</x:f>
        <x:v>60</x:v>
      </x:c>
      <x:c r="L7" s="189" t="n">
        <x:f>MIN(L$3,'Assumptions'!$C$39)*'Assumptions'!$C$38</x:f>
        <x:v>60</x:v>
      </x:c>
      <x:c r="M7" s="189" t="n">
        <x:f>MIN(M$3,'Assumptions'!$C$39)*'Assumptions'!$C$38</x:f>
        <x:v>60</x:v>
      </x:c>
    </x:row>
    <x:row r="8">
      <x:c r="A8" s="149" t="str">
        <x:v>Revenue</x:v>
      </x:c>
      <x:c r="B8" s="190" t="n">
        <x:f>B7*'Assumptions'!$C$36</x:f>
        <x:v>149.9</x:v>
      </x:c>
      <x:c r="C8" s="190" t="n">
        <x:f>C7*'Assumptions'!$C$36</x:f>
        <x:v>299.8</x:v>
      </x:c>
      <x:c r="D8" s="190" t="n">
        <x:f>D7*'Assumptions'!$C$36</x:f>
        <x:v>449.7</x:v>
      </x:c>
      <x:c r="E8" s="190" t="n">
        <x:f>E7*'Assumptions'!$C$36</x:f>
        <x:v>599.6</x:v>
      </x:c>
      <x:c r="F8" s="190" t="n">
        <x:f>F7*'Assumptions'!$C$36</x:f>
        <x:v>749.5</x:v>
      </x:c>
      <x:c r="G8" s="190" t="n">
        <x:f>G7*'Assumptions'!$C$36</x:f>
        <x:v>899.4</x:v>
      </x:c>
      <x:c r="H8" s="190" t="n">
        <x:f>H7*'Assumptions'!$C$36</x:f>
        <x:v>899.4</x:v>
      </x:c>
      <x:c r="I8" s="190" t="n">
        <x:f>I7*'Assumptions'!$C$36</x:f>
        <x:v>899.4</x:v>
      </x:c>
      <x:c r="J8" s="190" t="n">
        <x:f>J7*'Assumptions'!$C$36</x:f>
        <x:v>899.4</x:v>
      </x:c>
      <x:c r="K8" s="190" t="n">
        <x:f>K7*'Assumptions'!$C$36</x:f>
        <x:v>899.4</x:v>
      </x:c>
      <x:c r="L8" s="190" t="n">
        <x:f>L7*'Assumptions'!$C$36</x:f>
        <x:v>899.4</x:v>
      </x:c>
      <x:c r="M8" s="190" t="n">
        <x:f>M7*'Assumptions'!$C$36</x:f>
        <x:v>899.4</x:v>
      </x:c>
    </x:row>
    <x:row r="9">
      <x:c r="A9" s="149" t="str">
        <x:v>Contribution</x:v>
      </x:c>
      <x:c r="B9" s="190" t="n">
        <x:f>B7*'Assumptions'!$C$41</x:f>
        <x:v>94.80000000000001</x:v>
      </x:c>
      <x:c r="C9" s="190" t="n">
        <x:f>C7*'Assumptions'!$C$41</x:f>
        <x:v>189.60000000000002</x:v>
      </x:c>
      <x:c r="D9" s="190" t="n">
        <x:f>D7*'Assumptions'!$C$41</x:f>
        <x:v>284.40000000000003</x:v>
      </x:c>
      <x:c r="E9" s="190" t="n">
        <x:f>E7*'Assumptions'!$C$41</x:f>
        <x:v>379.20000000000005</x:v>
      </x:c>
      <x:c r="F9" s="190" t="n">
        <x:f>F7*'Assumptions'!$C$41</x:f>
        <x:v>474</x:v>
      </x:c>
      <x:c r="G9" s="190" t="n">
        <x:f>G7*'Assumptions'!$C$41</x:f>
        <x:v>568.8000000000001</x:v>
      </x:c>
      <x:c r="H9" s="190" t="n">
        <x:f>H7*'Assumptions'!$C$41</x:f>
        <x:v>568.8000000000001</x:v>
      </x:c>
      <x:c r="I9" s="190" t="n">
        <x:f>I7*'Assumptions'!$C$41</x:f>
        <x:v>568.8000000000001</x:v>
      </x:c>
      <x:c r="J9" s="190" t="n">
        <x:f>J7*'Assumptions'!$C$41</x:f>
        <x:v>568.8000000000001</x:v>
      </x:c>
      <x:c r="K9" s="190" t="n">
        <x:f>K7*'Assumptions'!$C$41</x:f>
        <x:v>568.8000000000001</x:v>
      </x:c>
      <x:c r="L9" s="190" t="n">
        <x:f>L7*'Assumptions'!$C$41</x:f>
        <x:v>568.8000000000001</x:v>
      </x:c>
      <x:c r="M9" s="190" t="n">
        <x:f>M7*'Assumptions'!$C$41</x:f>
        <x:v>568.8000000000001</x:v>
      </x:c>
    </x:row>
    <x:row r="10">
      <x:c r="A10" s="149" t="str">
        <x:v>Fixed software OpEx</x:v>
      </x:c>
      <x:c r="B10" s="190" t="n">
        <x:f>'Assumptions'!$C$40</x:f>
        <x:v>94</x:v>
      </x:c>
      <x:c r="C10" s="190" t="n">
        <x:f>'Assumptions'!$C$40</x:f>
        <x:v>94</x:v>
      </x:c>
      <x:c r="D10" s="190" t="n">
        <x:f>'Assumptions'!$C$40</x:f>
        <x:v>94</x:v>
      </x:c>
      <x:c r="E10" s="190" t="n">
        <x:f>'Assumptions'!$C$40</x:f>
        <x:v>94</x:v>
      </x:c>
      <x:c r="F10" s="190" t="n">
        <x:f>'Assumptions'!$C$40</x:f>
        <x:v>94</x:v>
      </x:c>
      <x:c r="G10" s="190" t="n">
        <x:f>'Assumptions'!$C$40</x:f>
        <x:v>94</x:v>
      </x:c>
      <x:c r="H10" s="190" t="n">
        <x:f>'Assumptions'!$C$40</x:f>
        <x:v>94</x:v>
      </x:c>
      <x:c r="I10" s="190" t="n">
        <x:f>'Assumptions'!$C$40</x:f>
        <x:v>94</x:v>
      </x:c>
      <x:c r="J10" s="190" t="n">
        <x:f>'Assumptions'!$C$40</x:f>
        <x:v>94</x:v>
      </x:c>
      <x:c r="K10" s="190" t="n">
        <x:f>'Assumptions'!$C$40</x:f>
        <x:v>94</x:v>
      </x:c>
      <x:c r="L10" s="190" t="n">
        <x:f>'Assumptions'!$C$40</x:f>
        <x:v>94</x:v>
      </x:c>
      <x:c r="M10" s="190" t="n">
        <x:f>'Assumptions'!$C$40</x:f>
        <x:v>94</x:v>
      </x:c>
    </x:row>
    <x:row r="11">
      <x:c r="A11" s="149" t="str">
        <x:v>Operating profit</x:v>
      </x:c>
      <x:c r="B11" s="190" t="n">
        <x:f>B9-B10</x:f>
        <x:v>0.8000000000000114</x:v>
      </x:c>
      <x:c r="C11" s="190" t="n">
        <x:f>C9-C10</x:f>
        <x:v>95.60000000000002</x:v>
      </x:c>
      <x:c r="D11" s="190" t="n">
        <x:f>D9-D10</x:f>
        <x:v>190.40000000000003</x:v>
      </x:c>
      <x:c r="E11" s="190" t="n">
        <x:f>E9-E10</x:f>
        <x:v>285.20000000000005</x:v>
      </x:c>
      <x:c r="F11" s="190" t="n">
        <x:f>F9-F10</x:f>
        <x:v>380</x:v>
      </x:c>
      <x:c r="G11" s="190" t="n">
        <x:f>G9-G10</x:f>
        <x:v>474.80000000000007</x:v>
      </x:c>
      <x:c r="H11" s="190" t="n">
        <x:f>H9-H10</x:f>
        <x:v>474.80000000000007</x:v>
      </x:c>
      <x:c r="I11" s="190" t="n">
        <x:f>I9-I10</x:f>
        <x:v>474.80000000000007</x:v>
      </x:c>
      <x:c r="J11" s="190" t="n">
        <x:f>J9-J10</x:f>
        <x:v>474.80000000000007</x:v>
      </x:c>
      <x:c r="K11" s="190" t="n">
        <x:f>K9-K10</x:f>
        <x:v>474.80000000000007</x:v>
      </x:c>
      <x:c r="L11" s="190" t="n">
        <x:f>L9-L10</x:f>
        <x:v>474.80000000000007</x:v>
      </x:c>
      <x:c r="M11" s="190" t="n">
        <x:f>M9-M10</x:f>
        <x:v>474.80000000000007</x:v>
      </x:c>
    </x:row>
    <x:row r="12">
      <x:c r="A12" s="151" t="str">
        <x:v>Cumulative cash</x:v>
      </x:c>
      <x:c r="B12" s="191" t="n">
        <x:f>SUM($B$11:B11)</x:f>
        <x:v>0.8000000000000114</x:v>
      </x:c>
      <x:c r="C12" s="191" t="n">
        <x:f>SUM($B$11:C11)</x:f>
        <x:v>96.40000000000003</x:v>
      </x:c>
      <x:c r="D12" s="191" t="n">
        <x:f>SUM($B$11:D11)</x:f>
        <x:v>286.80000000000007</x:v>
      </x:c>
      <x:c r="E12" s="191" t="n">
        <x:f>SUM($B$11:E11)</x:f>
        <x:v>572.0000000000001</x:v>
      </x:c>
      <x:c r="F12" s="191" t="n">
        <x:f>SUM($B$11:F11)</x:f>
        <x:v>952.0000000000001</x:v>
      </x:c>
      <x:c r="G12" s="191" t="n">
        <x:f>SUM($B$11:G11)</x:f>
        <x:v>1426.8000000000002</x:v>
      </x:c>
      <x:c r="H12" s="191" t="n">
        <x:f>SUM($B$11:H11)</x:f>
        <x:v>1901.6000000000004</x:v>
      </x:c>
      <x:c r="I12" s="191" t="n">
        <x:f>SUM($B$11:I11)</x:f>
        <x:v>2376.4000000000005</x:v>
      </x:c>
      <x:c r="J12" s="191" t="n">
        <x:f>SUM($B$11:J11)</x:f>
        <x:v>2851.2000000000007</x:v>
      </x:c>
      <x:c r="K12" s="191" t="n">
        <x:f>SUM($B$11:K11)</x:f>
        <x:v>3326.000000000001</x:v>
      </x:c>
      <x:c r="L12" s="191" t="n">
        <x:f>SUM($B$11:L11)</x:f>
        <x:v>3800.800000000001</x:v>
      </x:c>
      <x:c r="M12" s="191" t="n">
        <x:f>SUM($B$11:M11)</x:f>
        <x:v>4275.600000000001</x:v>
      </x:c>
    </x:row>
    <x:row r="13">
      <x:c r="A13" s="124"/>
      <x:c r="B13" s="124"/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</x:row>
    <x:row r="14">
      <x:c r="A14" s="124"/>
      <x:c r="B14" s="124"/>
      <x:c r="C14" s="124"/>
      <x:c r="D14" s="124"/>
      <x:c r="E14" s="124"/>
      <x:c r="F14" s="124"/>
      <x:c r="G14" s="124"/>
      <x:c r="H14" s="124"/>
      <x:c r="I14" s="124"/>
      <x:c r="J14" s="124"/>
      <x:c r="K14" s="124"/>
      <x:c r="L14" s="124"/>
      <x:c r="M14" s="124"/>
    </x:row>
    <x:row r="15" ht="22" customHeight="1">
      <x:c r="A15" s="146" t="str">
        <x:v>Current organic base case — one-month trial delay</x:v>
      </x:c>
      <x:c r="B15" s="146" t="str">
        <x:v>Current organic base case — one-month trial delay</x:v>
      </x:c>
      <x:c r="C15" s="146" t="str">
        <x:v>Current organic base case — one-month trial delay</x:v>
      </x:c>
      <x:c r="D15" s="146" t="str">
        <x:v>Current organic base case — one-month trial delay</x:v>
      </x:c>
      <x:c r="E15" s="146" t="str">
        <x:v>Current organic base case — one-month trial delay</x:v>
      </x:c>
      <x:c r="F15" s="146" t="str">
        <x:v>Current organic base case — one-month trial delay</x:v>
      </x:c>
      <x:c r="G15" s="146" t="str">
        <x:v>Current organic base case — one-month trial delay</x:v>
      </x:c>
      <x:c r="H15" s="146" t="str">
        <x:v>Current organic base case — one-month trial delay</x:v>
      </x:c>
      <x:c r="I15" s="146" t="str">
        <x:v>Current organic base case — one-month trial delay</x:v>
      </x:c>
      <x:c r="J15" s="146" t="str">
        <x:v>Current organic base case — one-month trial delay</x:v>
      </x:c>
      <x:c r="K15" s="146" t="str">
        <x:v>Current organic base case — one-month trial delay</x:v>
      </x:c>
      <x:c r="L15" s="146" t="str">
        <x:v>Current organic base case — one-month trial delay</x:v>
      </x:c>
      <x:c r="M15" s="146" t="str">
        <x:v>Current organic base case — one-month trial delay</x:v>
      </x:c>
    </x:row>
    <x:row r="16">
      <x:c r="A16" s="147" t="str">
        <x:v>New trial users</x:v>
      </x:c>
      <x:c r="B16" s="189" t="n">
        <x:f>'Assumptions'!$B$9</x:f>
        <x:v>500</x:v>
      </x:c>
      <x:c r="C16" s="189" t="n">
        <x:f>'Assumptions'!$B$9</x:f>
        <x:v>500</x:v>
      </x:c>
      <x:c r="D16" s="189" t="n">
        <x:f>'Assumptions'!$B$9</x:f>
        <x:v>500</x:v>
      </x:c>
      <x:c r="E16" s="189" t="n">
        <x:f>'Assumptions'!$B$9</x:f>
        <x:v>500</x:v>
      </x:c>
      <x:c r="F16" s="189" t="n">
        <x:f>'Assumptions'!$B$9</x:f>
        <x:v>500</x:v>
      </x:c>
      <x:c r="G16" s="189" t="n">
        <x:f>'Assumptions'!$B$9</x:f>
        <x:v>500</x:v>
      </x:c>
      <x:c r="H16" s="189" t="n">
        <x:f>'Assumptions'!$B$9</x:f>
        <x:v>500</x:v>
      </x:c>
      <x:c r="I16" s="189" t="n">
        <x:f>'Assumptions'!$B$9</x:f>
        <x:v>500</x:v>
      </x:c>
      <x:c r="J16" s="189" t="n">
        <x:f>'Assumptions'!$B$9</x:f>
        <x:v>500</x:v>
      </x:c>
      <x:c r="K16" s="189" t="n">
        <x:f>'Assumptions'!$B$9</x:f>
        <x:v>500</x:v>
      </x:c>
      <x:c r="L16" s="189" t="n">
        <x:f>'Assumptions'!$B$9</x:f>
        <x:v>500</x:v>
      </x:c>
      <x:c r="M16" s="189" t="n">
        <x:f>'Assumptions'!$B$9</x:f>
        <x:v>500</x:v>
      </x:c>
    </x:row>
    <x:row r="17">
      <x:c r="A17" s="149" t="str">
        <x:v>New paid starts</x:v>
      </x:c>
      <x:c r="B17" s="192" t="n">
        <x:f>IF(B$3&lt;='Assumptions'!$B$12,0,'Assumptions'!$B$10)</x:f>
        <x:v>0</x:v>
      </x:c>
      <x:c r="C17" s="192" t="n">
        <x:f>IF(C$3&lt;='Assumptions'!$B$12,0,'Assumptions'!$B$10)</x:f>
        <x:v>10</x:v>
      </x:c>
      <x:c r="D17" s="192" t="n">
        <x:f>IF(D$3&lt;='Assumptions'!$B$12,0,'Assumptions'!$B$10)</x:f>
        <x:v>10</x:v>
      </x:c>
      <x:c r="E17" s="192" t="n">
        <x:f>IF(E$3&lt;='Assumptions'!$B$12,0,'Assumptions'!$B$10)</x:f>
        <x:v>10</x:v>
      </x:c>
      <x:c r="F17" s="192" t="n">
        <x:f>IF(F$3&lt;='Assumptions'!$B$12,0,'Assumptions'!$B$10)</x:f>
        <x:v>10</x:v>
      </x:c>
      <x:c r="G17" s="192" t="n">
        <x:f>IF(G$3&lt;='Assumptions'!$B$12,0,'Assumptions'!$B$10)</x:f>
        <x:v>10</x:v>
      </x:c>
      <x:c r="H17" s="192" t="n">
        <x:f>IF(H$3&lt;='Assumptions'!$B$12,0,'Assumptions'!$B$10)</x:f>
        <x:v>10</x:v>
      </x:c>
      <x:c r="I17" s="192" t="n">
        <x:f>IF(I$3&lt;='Assumptions'!$B$12,0,'Assumptions'!$B$10)</x:f>
        <x:v>10</x:v>
      </x:c>
      <x:c r="J17" s="192" t="n">
        <x:f>IF(J$3&lt;='Assumptions'!$B$12,0,'Assumptions'!$B$10)</x:f>
        <x:v>10</x:v>
      </x:c>
      <x:c r="K17" s="192" t="n">
        <x:f>IF(K$3&lt;='Assumptions'!$B$12,0,'Assumptions'!$B$10)</x:f>
        <x:v>10</x:v>
      </x:c>
      <x:c r="L17" s="192" t="n">
        <x:f>IF(L$3&lt;='Assumptions'!$B$12,0,'Assumptions'!$B$10)</x:f>
        <x:v>10</x:v>
      </x:c>
      <x:c r="M17" s="192" t="n">
        <x:f>IF(M$3&lt;='Assumptions'!$B$12,0,'Assumptions'!$B$10)</x:f>
        <x:v>10</x:v>
      </x:c>
    </x:row>
    <x:row r="18">
      <x:c r="A18" s="149" t="str">
        <x:v>Active paid users</x:v>
      </x:c>
      <x:c r="B18" s="192" t="n">
        <x:f>MIN(MAX(B$3-'Assumptions'!$B$12,0),'Assumptions'!$B$11)*'Assumptions'!$B$10</x:f>
        <x:v>0</x:v>
      </x:c>
      <x:c r="C18" s="192" t="n">
        <x:f>MIN(MAX(C$3-'Assumptions'!$B$12,0),'Assumptions'!$B$11)*'Assumptions'!$B$10</x:f>
        <x:v>10</x:v>
      </x:c>
      <x:c r="D18" s="192" t="n">
        <x:f>MIN(MAX(D$3-'Assumptions'!$B$12,0),'Assumptions'!$B$11)*'Assumptions'!$B$10</x:f>
        <x:v>20</x:v>
      </x:c>
      <x:c r="E18" s="192" t="n">
        <x:f>MIN(MAX(E$3-'Assumptions'!$B$12,0),'Assumptions'!$B$11)*'Assumptions'!$B$10</x:f>
        <x:v>30</x:v>
      </x:c>
      <x:c r="F18" s="192" t="n">
        <x:f>MIN(MAX(F$3-'Assumptions'!$B$12,0),'Assumptions'!$B$11)*'Assumptions'!$B$10</x:f>
        <x:v>40</x:v>
      </x:c>
      <x:c r="G18" s="192" t="n">
        <x:f>MIN(MAX(G$3-'Assumptions'!$B$12,0),'Assumptions'!$B$11)*'Assumptions'!$B$10</x:f>
        <x:v>50</x:v>
      </x:c>
      <x:c r="H18" s="192" t="n">
        <x:f>MIN(MAX(H$3-'Assumptions'!$B$12,0),'Assumptions'!$B$11)*'Assumptions'!$B$10</x:f>
        <x:v>60</x:v>
      </x:c>
      <x:c r="I18" s="192" t="n">
        <x:f>MIN(MAX(I$3-'Assumptions'!$B$12,0),'Assumptions'!$B$11)*'Assumptions'!$B$10</x:f>
        <x:v>60</x:v>
      </x:c>
      <x:c r="J18" s="192" t="n">
        <x:f>MIN(MAX(J$3-'Assumptions'!$B$12,0),'Assumptions'!$B$11)*'Assumptions'!$B$10</x:f>
        <x:v>60</x:v>
      </x:c>
      <x:c r="K18" s="192" t="n">
        <x:f>MIN(MAX(K$3-'Assumptions'!$B$12,0),'Assumptions'!$B$11)*'Assumptions'!$B$10</x:f>
        <x:v>60</x:v>
      </x:c>
      <x:c r="L18" s="192" t="n">
        <x:f>MIN(MAX(L$3-'Assumptions'!$B$12,0),'Assumptions'!$B$11)*'Assumptions'!$B$10</x:f>
        <x:v>60</x:v>
      </x:c>
      <x:c r="M18" s="192" t="n">
        <x:f>MIN(MAX(M$3-'Assumptions'!$B$12,0),'Assumptions'!$B$11)*'Assumptions'!$B$10</x:f>
        <x:v>60</x:v>
      </x:c>
    </x:row>
    <x:row r="19">
      <x:c r="A19" s="149" t="str">
        <x:v>Revenue</x:v>
      </x:c>
      <x:c r="B19" s="190" t="n">
        <x:f>B18*'Assumptions'!$B$13</x:f>
        <x:v>0</x:v>
      </x:c>
      <x:c r="C19" s="190" t="n">
        <x:f>C18*'Assumptions'!$B$13</x:f>
        <x:v>100</x:v>
      </x:c>
      <x:c r="D19" s="190" t="n">
        <x:f>D18*'Assumptions'!$B$13</x:f>
        <x:v>200</x:v>
      </x:c>
      <x:c r="E19" s="190" t="n">
        <x:f>E18*'Assumptions'!$B$13</x:f>
        <x:v>300</x:v>
      </x:c>
      <x:c r="F19" s="190" t="n">
        <x:f>F18*'Assumptions'!$B$13</x:f>
        <x:v>400</x:v>
      </x:c>
      <x:c r="G19" s="190" t="n">
        <x:f>G18*'Assumptions'!$B$13</x:f>
        <x:v>500</x:v>
      </x:c>
      <x:c r="H19" s="190" t="n">
        <x:f>H18*'Assumptions'!$B$13</x:f>
        <x:v>600</x:v>
      </x:c>
      <x:c r="I19" s="190" t="n">
        <x:f>I18*'Assumptions'!$B$13</x:f>
        <x:v>600</x:v>
      </x:c>
      <x:c r="J19" s="190" t="n">
        <x:f>J18*'Assumptions'!$B$13</x:f>
        <x:v>600</x:v>
      </x:c>
      <x:c r="K19" s="190" t="n">
        <x:f>K18*'Assumptions'!$B$13</x:f>
        <x:v>600</x:v>
      </x:c>
      <x:c r="L19" s="190" t="n">
        <x:f>L18*'Assumptions'!$B$13</x:f>
        <x:v>600</x:v>
      </x:c>
      <x:c r="M19" s="190" t="n">
        <x:f>M18*'Assumptions'!$B$13</x:f>
        <x:v>600</x:v>
      </x:c>
    </x:row>
    <x:row r="20">
      <x:c r="A20" s="149" t="str">
        <x:v>Stripe cost</x:v>
      </x:c>
      <x:c r="B20" s="190" t="n">
        <x:f>B18*('Assumptions'!$B$13*'Assumptions'!$B$17+'Assumptions'!$B$18+'Assumptions'!$B$13*'Assumptions'!$B$19)</x:f>
        <x:v>0</x:v>
      </x:c>
      <x:c r="C20" s="190" t="n">
        <x:f>C18*('Assumptions'!$B$13*'Assumptions'!$B$17+'Assumptions'!$B$18+'Assumptions'!$B$13*'Assumptions'!$B$19)</x:f>
        <x:v>6.600000000000001</x:v>
      </x:c>
      <x:c r="D20" s="190" t="n">
        <x:f>D18*('Assumptions'!$B$13*'Assumptions'!$B$17+'Assumptions'!$B$18+'Assumptions'!$B$13*'Assumptions'!$B$19)</x:f>
        <x:v>13.200000000000003</x:v>
      </x:c>
      <x:c r="E20" s="190" t="n">
        <x:f>E18*('Assumptions'!$B$13*'Assumptions'!$B$17+'Assumptions'!$B$18+'Assumptions'!$B$13*'Assumptions'!$B$19)</x:f>
        <x:v>19.800000000000004</x:v>
      </x:c>
      <x:c r="F20" s="190" t="n">
        <x:f>F18*('Assumptions'!$B$13*'Assumptions'!$B$17+'Assumptions'!$B$18+'Assumptions'!$B$13*'Assumptions'!$B$19)</x:f>
        <x:v>26.400000000000006</x:v>
      </x:c>
      <x:c r="G20" s="190" t="n">
        <x:f>G18*('Assumptions'!$B$13*'Assumptions'!$B$17+'Assumptions'!$B$18+'Assumptions'!$B$13*'Assumptions'!$B$19)</x:f>
        <x:v>33.00000000000001</x:v>
      </x:c>
      <x:c r="H20" s="190" t="n">
        <x:f>H18*('Assumptions'!$B$13*'Assumptions'!$B$17+'Assumptions'!$B$18+'Assumptions'!$B$13*'Assumptions'!$B$19)</x:f>
        <x:v>39.60000000000001</x:v>
      </x:c>
      <x:c r="I20" s="190" t="n">
        <x:f>I18*('Assumptions'!$B$13*'Assumptions'!$B$17+'Assumptions'!$B$18+'Assumptions'!$B$13*'Assumptions'!$B$19)</x:f>
        <x:v>39.60000000000001</x:v>
      </x:c>
      <x:c r="J20" s="190" t="n">
        <x:f>J18*('Assumptions'!$B$13*'Assumptions'!$B$17+'Assumptions'!$B$18+'Assumptions'!$B$13*'Assumptions'!$B$19)</x:f>
        <x:v>39.60000000000001</x:v>
      </x:c>
      <x:c r="K20" s="190" t="n">
        <x:f>K18*('Assumptions'!$B$13*'Assumptions'!$B$17+'Assumptions'!$B$18+'Assumptions'!$B$13*'Assumptions'!$B$19)</x:f>
        <x:v>39.60000000000001</x:v>
      </x:c>
      <x:c r="L20" s="190" t="n">
        <x:f>L18*('Assumptions'!$B$13*'Assumptions'!$B$17+'Assumptions'!$B$18+'Assumptions'!$B$13*'Assumptions'!$B$19)</x:f>
        <x:v>39.60000000000001</x:v>
      </x:c>
      <x:c r="M20" s="190" t="n">
        <x:f>M18*('Assumptions'!$B$13*'Assumptions'!$B$17+'Assumptions'!$B$18+'Assumptions'!$B$13*'Assumptions'!$B$19)</x:f>
        <x:v>39.60000000000001</x:v>
      </x:c>
    </x:row>
    <x:row r="21">
      <x:c r="A21" s="149" t="str">
        <x:v>Gemini cost (paid + trials)</x:v>
      </x:c>
      <x:c r="B21" s="190" t="n">
        <x:f>(B18+B16)*'Assumptions'!$B$14*('Assumptions'!$B$15/1000000*IF(B$4&lt;'Assumptions'!$B$24,'Assumptions'!$B$20,'Assumptions'!$B$22)+'Assumptions'!$B$16/1000000*IF(B$4&lt;'Assumptions'!$B$24,'Assumptions'!$B$21,'Assumptions'!$B$23))</x:f>
        <x:v>13.124999999999998</x:v>
      </x:c>
      <x:c r="C21" s="190" t="n">
        <x:f>(C18+C16)*'Assumptions'!$B$14*('Assumptions'!$B$15/1000000*IF(C$4&lt;'Assumptions'!$B$24,'Assumptions'!$B$20,'Assumptions'!$B$22)+'Assumptions'!$B$16/1000000*IF(C$4&lt;'Assumptions'!$B$24,'Assumptions'!$B$21,'Assumptions'!$B$23))</x:f>
        <x:v>13.3875</x:v>
      </x:c>
      <x:c r="D21" s="190" t="n">
        <x:f>(D18+D16)*'Assumptions'!$B$14*('Assumptions'!$B$15/1000000*IF(D$4&lt;'Assumptions'!$B$24,'Assumptions'!$B$20,'Assumptions'!$B$22)+'Assumptions'!$B$16/1000000*IF(D$4&lt;'Assumptions'!$B$24,'Assumptions'!$B$21,'Assumptions'!$B$23))</x:f>
        <x:v>13.649999999999999</x:v>
      </x:c>
      <x:c r="E21" s="190" t="n">
        <x:f>(E18+E16)*'Assumptions'!$B$14*('Assumptions'!$B$15/1000000*IF(E$4&lt;'Assumptions'!$B$24,'Assumptions'!$B$20,'Assumptions'!$B$22)+'Assumptions'!$B$16/1000000*IF(E$4&lt;'Assumptions'!$B$24,'Assumptions'!$B$21,'Assumptions'!$B$23))</x:f>
        <x:v>13.912499999999998</x:v>
      </x:c>
      <x:c r="F21" s="190" t="n">
        <x:f>(F18+F16)*'Assumptions'!$B$14*('Assumptions'!$B$15/1000000*IF(F$4&lt;'Assumptions'!$B$24,'Assumptions'!$B$20,'Assumptions'!$B$22)+'Assumptions'!$B$16/1000000*IF(F$4&lt;'Assumptions'!$B$24,'Assumptions'!$B$21,'Assumptions'!$B$23))</x:f>
        <x:v>28.349999999999998</x:v>
      </x:c>
      <x:c r="G21" s="190" t="n">
        <x:f>(G18+G16)*'Assumptions'!$B$14*('Assumptions'!$B$15/1000000*IF(G$4&lt;'Assumptions'!$B$24,'Assumptions'!$B$20,'Assumptions'!$B$22)+'Assumptions'!$B$16/1000000*IF(G$4&lt;'Assumptions'!$B$24,'Assumptions'!$B$21,'Assumptions'!$B$23))</x:f>
        <x:v>28.874999999999996</x:v>
      </x:c>
      <x:c r="H21" s="190" t="n">
        <x:f>(H18+H16)*'Assumptions'!$B$14*('Assumptions'!$B$15/1000000*IF(H$4&lt;'Assumptions'!$B$24,'Assumptions'!$B$20,'Assumptions'!$B$22)+'Assumptions'!$B$16/1000000*IF(H$4&lt;'Assumptions'!$B$24,'Assumptions'!$B$21,'Assumptions'!$B$23))</x:f>
        <x:v>29.4</x:v>
      </x:c>
      <x:c r="I21" s="190" t="n">
        <x:f>(I18+I16)*'Assumptions'!$B$14*('Assumptions'!$B$15/1000000*IF(I$4&lt;'Assumptions'!$B$24,'Assumptions'!$B$20,'Assumptions'!$B$22)+'Assumptions'!$B$16/1000000*IF(I$4&lt;'Assumptions'!$B$24,'Assumptions'!$B$21,'Assumptions'!$B$23))</x:f>
        <x:v>29.4</x:v>
      </x:c>
      <x:c r="J21" s="190" t="n">
        <x:f>(J18+J16)*'Assumptions'!$B$14*('Assumptions'!$B$15/1000000*IF(J$4&lt;'Assumptions'!$B$24,'Assumptions'!$B$20,'Assumptions'!$B$22)+'Assumptions'!$B$16/1000000*IF(J$4&lt;'Assumptions'!$B$24,'Assumptions'!$B$21,'Assumptions'!$B$23))</x:f>
        <x:v>29.4</x:v>
      </x:c>
      <x:c r="K21" s="190" t="n">
        <x:f>(K18+K16)*'Assumptions'!$B$14*('Assumptions'!$B$15/1000000*IF(K$4&lt;'Assumptions'!$B$24,'Assumptions'!$B$20,'Assumptions'!$B$22)+'Assumptions'!$B$16/1000000*IF(K$4&lt;'Assumptions'!$B$24,'Assumptions'!$B$21,'Assumptions'!$B$23))</x:f>
        <x:v>29.4</x:v>
      </x:c>
      <x:c r="L21" s="190" t="n">
        <x:f>(L18+L16)*'Assumptions'!$B$14*('Assumptions'!$B$15/1000000*IF(L$4&lt;'Assumptions'!$B$24,'Assumptions'!$B$20,'Assumptions'!$B$22)+'Assumptions'!$B$16/1000000*IF(L$4&lt;'Assumptions'!$B$24,'Assumptions'!$B$21,'Assumptions'!$B$23))</x:f>
        <x:v>29.4</x:v>
      </x:c>
      <x:c r="M21" s="190" t="n">
        <x:f>(M18+M16)*'Assumptions'!$B$14*('Assumptions'!$B$15/1000000*IF(M$4&lt;'Assumptions'!$B$24,'Assumptions'!$B$20,'Assumptions'!$B$22)+'Assumptions'!$B$16/1000000*IF(M$4&lt;'Assumptions'!$B$24,'Assumptions'!$B$21,'Assumptions'!$B$23))</x:f>
        <x:v>29.4</x:v>
      </x:c>
    </x:row>
    <x:row r="22">
      <x:c r="A22" s="149" t="str">
        <x:v>Variable cost</x:v>
      </x:c>
      <x:c r="B22" s="190" t="n">
        <x:f>SUM(B20:B21)</x:f>
        <x:v>13.124999999999998</x:v>
      </x:c>
      <x:c r="C22" s="190" t="n">
        <x:f>SUM(C20:C21)</x:f>
        <x:v>19.9875</x:v>
      </x:c>
      <x:c r="D22" s="190" t="n">
        <x:f>SUM(D20:D21)</x:f>
        <x:v>26.85</x:v>
      </x:c>
      <x:c r="E22" s="190" t="n">
        <x:f>SUM(E20:E21)</x:f>
        <x:v>33.712500000000006</x:v>
      </x:c>
      <x:c r="F22" s="190" t="n">
        <x:f>SUM(F20:F21)</x:f>
        <x:v>54.75</x:v>
      </x:c>
      <x:c r="G22" s="190" t="n">
        <x:f>SUM(G20:G21)</x:f>
        <x:v>61.875</x:v>
      </x:c>
      <x:c r="H22" s="190" t="n">
        <x:f>SUM(H20:H21)</x:f>
        <x:v>69</x:v>
      </x:c>
      <x:c r="I22" s="190" t="n">
        <x:f>SUM(I20:I21)</x:f>
        <x:v>69</x:v>
      </x:c>
      <x:c r="J22" s="190" t="n">
        <x:f>SUM(J20:J21)</x:f>
        <x:v>69</x:v>
      </x:c>
      <x:c r="K22" s="190" t="n">
        <x:f>SUM(K20:K21)</x:f>
        <x:v>69</x:v>
      </x:c>
      <x:c r="L22" s="190" t="n">
        <x:f>SUM(L20:L21)</x:f>
        <x:v>69</x:v>
      </x:c>
      <x:c r="M22" s="190" t="n">
        <x:f>SUM(M20:M21)</x:f>
        <x:v>69</x:v>
      </x:c>
    </x:row>
    <x:row r="23">
      <x:c r="A23" s="149" t="str">
        <x:v>Contribution</x:v>
      </x:c>
      <x:c r="B23" s="190" t="n">
        <x:f>B19-B22</x:f>
        <x:v>-13.124999999999998</x:v>
      </x:c>
      <x:c r="C23" s="190" t="n">
        <x:f>C19-C22</x:f>
        <x:v>80.0125</x:v>
      </x:c>
      <x:c r="D23" s="190" t="n">
        <x:f>D19-D22</x:f>
        <x:v>173.15</x:v>
      </x:c>
      <x:c r="E23" s="190" t="n">
        <x:f>E19-E22</x:f>
        <x:v>266.2875</x:v>
      </x:c>
      <x:c r="F23" s="190" t="n">
        <x:f>F19-F22</x:f>
        <x:v>345.25</x:v>
      </x:c>
      <x:c r="G23" s="190" t="n">
        <x:f>G19-G22</x:f>
        <x:v>438.125</x:v>
      </x:c>
      <x:c r="H23" s="190" t="n">
        <x:f>H19-H22</x:f>
        <x:v>531</x:v>
      </x:c>
      <x:c r="I23" s="190" t="n">
        <x:f>I19-I22</x:f>
        <x:v>531</x:v>
      </x:c>
      <x:c r="J23" s="190" t="n">
        <x:f>J19-J22</x:f>
        <x:v>531</x:v>
      </x:c>
      <x:c r="K23" s="190" t="n">
        <x:f>K19-K22</x:f>
        <x:v>531</x:v>
      </x:c>
      <x:c r="L23" s="190" t="n">
        <x:f>L19-L22</x:f>
        <x:v>531</x:v>
      </x:c>
      <x:c r="M23" s="190" t="n">
        <x:f>M19-M22</x:f>
        <x:v>531</x:v>
      </x:c>
    </x:row>
    <x:row r="24">
      <x:c r="A24" s="149" t="str">
        <x:v>Fixed software OpEx</x:v>
      </x:c>
      <x:c r="B24" s="190" t="n">
        <x:f>'Assumptions'!$B$28</x:f>
        <x:v>45</x:v>
      </x:c>
      <x:c r="C24" s="190" t="n">
        <x:f>'Assumptions'!$B$28</x:f>
        <x:v>45</x:v>
      </x:c>
      <x:c r="D24" s="190" t="n">
        <x:f>'Assumptions'!$B$28</x:f>
        <x:v>45</x:v>
      </x:c>
      <x:c r="E24" s="190" t="n">
        <x:f>'Assumptions'!$B$28</x:f>
        <x:v>45</x:v>
      </x:c>
      <x:c r="F24" s="190" t="n">
        <x:f>'Assumptions'!$B$28</x:f>
        <x:v>45</x:v>
      </x:c>
      <x:c r="G24" s="190" t="n">
        <x:f>'Assumptions'!$B$28</x:f>
        <x:v>45</x:v>
      </x:c>
      <x:c r="H24" s="190" t="n">
        <x:f>'Assumptions'!$B$28</x:f>
        <x:v>45</x:v>
      </x:c>
      <x:c r="I24" s="190" t="n">
        <x:f>'Assumptions'!$B$28</x:f>
        <x:v>45</x:v>
      </x:c>
      <x:c r="J24" s="190" t="n">
        <x:f>'Assumptions'!$B$28</x:f>
        <x:v>45</x:v>
      </x:c>
      <x:c r="K24" s="190" t="n">
        <x:f>'Assumptions'!$B$28</x:f>
        <x:v>45</x:v>
      </x:c>
      <x:c r="L24" s="190" t="n">
        <x:f>'Assumptions'!$B$28</x:f>
        <x:v>45</x:v>
      </x:c>
      <x:c r="M24" s="190" t="n">
        <x:f>'Assumptions'!$B$28</x:f>
        <x:v>45</x:v>
      </x:c>
    </x:row>
    <x:row r="25">
      <x:c r="A25" s="149" t="str">
        <x:v>Acquisition spend</x:v>
      </x:c>
      <x:c r="B25" s="190" t="n">
        <x:v>0</x:v>
      </x:c>
      <x:c r="C25" s="190" t="n">
        <x:v>0</x:v>
      </x:c>
      <x:c r="D25" s="190" t="n">
        <x:v>0</x:v>
      </x:c>
      <x:c r="E25" s="190" t="n">
        <x:v>0</x:v>
      </x:c>
      <x:c r="F25" s="190" t="n">
        <x:v>0</x:v>
      </x:c>
      <x:c r="G25" s="190" t="n">
        <x:v>0</x:v>
      </x:c>
      <x:c r="H25" s="190" t="n">
        <x:v>0</x:v>
      </x:c>
      <x:c r="I25" s="190" t="n">
        <x:v>0</x:v>
      </x:c>
      <x:c r="J25" s="190" t="n">
        <x:v>0</x:v>
      </x:c>
      <x:c r="K25" s="190" t="n">
        <x:v>0</x:v>
      </x:c>
      <x:c r="L25" s="190" t="n">
        <x:v>0</x:v>
      </x:c>
      <x:c r="M25" s="190" t="n">
        <x:v>0</x:v>
      </x:c>
    </x:row>
    <x:row r="26">
      <x:c r="A26" s="173" t="str">
        <x:v>Operating profit</x:v>
      </x:c>
      <x:c r="B26" s="193" t="n">
        <x:f>B23-B24-B25</x:f>
        <x:v>-58.125</x:v>
      </x:c>
      <x:c r="C26" s="193" t="n">
        <x:f>C23-C24-C25</x:f>
        <x:v>35.0125</x:v>
      </x:c>
      <x:c r="D26" s="193" t="n">
        <x:f>D23-D24-D25</x:f>
        <x:v>128.15</x:v>
      </x:c>
      <x:c r="E26" s="193" t="n">
        <x:f>E23-E24-E25</x:f>
        <x:v>221.28750000000002</x:v>
      </x:c>
      <x:c r="F26" s="193" t="n">
        <x:f>F23-F24-F25</x:f>
        <x:v>300.25</x:v>
      </x:c>
      <x:c r="G26" s="193" t="n">
        <x:f>G23-G24-G25</x:f>
        <x:v>393.125</x:v>
      </x:c>
      <x:c r="H26" s="193" t="n">
        <x:f>H23-H24-H25</x:f>
        <x:v>486</x:v>
      </x:c>
      <x:c r="I26" s="193" t="n">
        <x:f>I23-I24-I25</x:f>
        <x:v>486</x:v>
      </x:c>
      <x:c r="J26" s="193" t="n">
        <x:f>J23-J24-J25</x:f>
        <x:v>486</x:v>
      </x:c>
      <x:c r="K26" s="193" t="n">
        <x:f>K23-K24-K25</x:f>
        <x:v>486</x:v>
      </x:c>
      <x:c r="L26" s="193" t="n">
        <x:f>L23-L24-L25</x:f>
        <x:v>486</x:v>
      </x:c>
      <x:c r="M26" s="193" t="n">
        <x:f>M23-M24-M25</x:f>
        <x:v>486</x:v>
      </x:c>
    </x:row>
    <x:row r="27">
      <x:c r="A27" s="173" t="str">
        <x:v>Cumulative cash</x:v>
      </x:c>
      <x:c r="B27" s="193" t="n">
        <x:f>'Assumptions'!$B$31+SUM($B$26:B26)</x:f>
        <x:v>-58.125</x:v>
      </x:c>
      <x:c r="C27" s="193" t="n">
        <x:f>'Assumptions'!$B$31+SUM($B$26:C26)</x:f>
        <x:v>-23.112499999999997</x:v>
      </x:c>
      <x:c r="D27" s="193" t="n">
        <x:f>'Assumptions'!$B$31+SUM($B$26:D26)</x:f>
        <x:v>105.03750000000001</x:v>
      </x:c>
      <x:c r="E27" s="193" t="n">
        <x:f>'Assumptions'!$B$31+SUM($B$26:E26)</x:f>
        <x:v>326.32500000000005</x:v>
      </x:c>
      <x:c r="F27" s="193" t="n">
        <x:f>'Assumptions'!$B$31+SUM($B$26:F26)</x:f>
        <x:v>626.575</x:v>
      </x:c>
      <x:c r="G27" s="193" t="n">
        <x:f>'Assumptions'!$B$31+SUM($B$26:G26)</x:f>
        <x:v>1019.7</x:v>
      </x:c>
      <x:c r="H27" s="193" t="n">
        <x:f>'Assumptions'!$B$31+SUM($B$26:H26)</x:f>
        <x:v>1505.7</x:v>
      </x:c>
      <x:c r="I27" s="193" t="n">
        <x:f>'Assumptions'!$B$31+SUM($B$26:I26)</x:f>
        <x:v>1991.7</x:v>
      </x:c>
      <x:c r="J27" s="193" t="n">
        <x:f>'Assumptions'!$B$31+SUM($B$26:J26)</x:f>
        <x:v>2477.7</x:v>
      </x:c>
      <x:c r="K27" s="193" t="n">
        <x:f>'Assumptions'!$B$31+SUM($B$26:K26)</x:f>
        <x:v>2963.7</x:v>
      </x:c>
      <x:c r="L27" s="193" t="n">
        <x:f>'Assumptions'!$B$31+SUM($B$26:L26)</x:f>
        <x:v>3449.7</x:v>
      </x:c>
      <x:c r="M27" s="193" t="n">
        <x:f>'Assumptions'!$B$31+SUM($B$26:M26)</x:f>
        <x:v>3935.7</x:v>
      </x:c>
    </x:row>
    <x:row r="28">
      <x:c r="A28" s="149" t="str">
        <x:v>Monthly profitable?</x:v>
      </x:c>
      <x:c r="B28" s="149" t="str">
        <x:f>IF(B26&gt;0,"Yes","No")</x:f>
        <x:v>No</x:v>
      </x:c>
      <x:c r="C28" s="149" t="str">
        <x:f>IF(C26&gt;0,"Yes","No")</x:f>
        <x:v>Yes</x:v>
      </x:c>
      <x:c r="D28" s="149" t="str">
        <x:f>IF(D26&gt;0,"Yes","No")</x:f>
        <x:v>Yes</x:v>
      </x:c>
      <x:c r="E28" s="149" t="str">
        <x:f>IF(E26&gt;0,"Yes","No")</x:f>
        <x:v>Yes</x:v>
      </x:c>
      <x:c r="F28" s="149" t="str">
        <x:f>IF(F26&gt;0,"Yes","No")</x:f>
        <x:v>Yes</x:v>
      </x:c>
      <x:c r="G28" s="149" t="str">
        <x:f>IF(G26&gt;0,"Yes","No")</x:f>
        <x:v>Yes</x:v>
      </x:c>
      <x:c r="H28" s="149" t="str">
        <x:f>IF(H26&gt;0,"Yes","No")</x:f>
        <x:v>Yes</x:v>
      </x:c>
      <x:c r="I28" s="149" t="str">
        <x:f>IF(I26&gt;0,"Yes","No")</x:f>
        <x:v>Yes</x:v>
      </x:c>
      <x:c r="J28" s="149" t="str">
        <x:f>IF(J26&gt;0,"Yes","No")</x:f>
        <x:v>Yes</x:v>
      </x:c>
      <x:c r="K28" s="149" t="str">
        <x:f>IF(K26&gt;0,"Yes","No")</x:f>
        <x:v>Yes</x:v>
      </x:c>
      <x:c r="L28" s="149" t="str">
        <x:f>IF(L26&gt;0,"Yes","No")</x:f>
        <x:v>Yes</x:v>
      </x:c>
      <x:c r="M28" s="149" t="str">
        <x:f>IF(M26&gt;0,"Yes","No")</x:f>
        <x:v>Yes</x:v>
      </x:c>
    </x:row>
    <x:row r="29">
      <x:c r="A29" s="151" t="str">
        <x:v>Cumulative cash non-negative?</x:v>
      </x:c>
      <x:c r="B29" s="151" t="str">
        <x:f>IF(B27&gt;=0,"Yes","No")</x:f>
        <x:v>No</x:v>
      </x:c>
      <x:c r="C29" s="151" t="str">
        <x:f>IF(C27&gt;=0,"Yes","No")</x:f>
        <x:v>No</x:v>
      </x:c>
      <x:c r="D29" s="151" t="str">
        <x:f>IF(D27&gt;=0,"Yes","No")</x:f>
        <x:v>Yes</x:v>
      </x:c>
      <x:c r="E29" s="151" t="str">
        <x:f>IF(E27&gt;=0,"Yes","No")</x:f>
        <x:v>Yes</x:v>
      </x:c>
      <x:c r="F29" s="151" t="str">
        <x:f>IF(F27&gt;=0,"Yes","No")</x:f>
        <x:v>Yes</x:v>
      </x:c>
      <x:c r="G29" s="151" t="str">
        <x:f>IF(G27&gt;=0,"Yes","No")</x:f>
        <x:v>Yes</x:v>
      </x:c>
      <x:c r="H29" s="151" t="str">
        <x:f>IF(H27&gt;=0,"Yes","No")</x:f>
        <x:v>Yes</x:v>
      </x:c>
      <x:c r="I29" s="151" t="str">
        <x:f>IF(I27&gt;=0,"Yes","No")</x:f>
        <x:v>Yes</x:v>
      </x:c>
      <x:c r="J29" s="151" t="str">
        <x:f>IF(J27&gt;=0,"Yes","No")</x:f>
        <x:v>Yes</x:v>
      </x:c>
      <x:c r="K29" s="151" t="str">
        <x:f>IF(K27&gt;=0,"Yes","No")</x:f>
        <x:v>Yes</x:v>
      </x:c>
      <x:c r="L29" s="151" t="str">
        <x:f>IF(L27&gt;=0,"Yes","No")</x:f>
        <x:v>Yes</x:v>
      </x:c>
      <x:c r="M29" s="151" t="str">
        <x:f>IF(M27&gt;=0,"Yes","No")</x:f>
        <x:v>Yes</x:v>
      </x:c>
    </x:row>
    <x:row r="30">
      <x:c r="A30" s="124"/>
      <x:c r="B30" s="124"/>
      <x:c r="C30" s="124"/>
      <x:c r="D30" s="124"/>
      <x:c r="E30" s="124"/>
      <x:c r="F30" s="124"/>
      <x:c r="G30" s="124"/>
      <x:c r="H30" s="124"/>
      <x:c r="I30" s="124"/>
      <x:c r="J30" s="124"/>
      <x:c r="K30" s="124"/>
      <x:c r="L30" s="124"/>
      <x:c r="M30" s="124"/>
    </x:row>
    <x:row r="31">
      <x:c r="A31" s="124"/>
      <x:c r="B31" s="124"/>
      <x:c r="C31" s="124"/>
      <x:c r="D31" s="124"/>
      <x:c r="E31" s="124"/>
      <x:c r="F31" s="124"/>
      <x:c r="G31" s="124"/>
      <x:c r="H31" s="124"/>
      <x:c r="I31" s="124"/>
      <x:c r="J31" s="124"/>
      <x:c r="K31" s="124"/>
      <x:c r="L31" s="124"/>
      <x:c r="M31" s="124"/>
    </x:row>
    <x:row r="32" ht="22" customHeight="1">
      <x:c r="A32" s="146" t="str">
        <x:v>Current paid-acquisition scenario — spend at 3:1 CAC ceiling</x:v>
      </x:c>
      <x:c r="B32" s="146" t="str">
        <x:v>Current paid-acquisition scenario — spend at 3:1 CAC ceiling</x:v>
      </x:c>
      <x:c r="C32" s="146" t="str">
        <x:v>Current paid-acquisition scenario — spend at 3:1 CAC ceiling</x:v>
      </x:c>
      <x:c r="D32" s="146" t="str">
        <x:v>Current paid-acquisition scenario — spend at 3:1 CAC ceiling</x:v>
      </x:c>
      <x:c r="E32" s="146" t="str">
        <x:v>Current paid-acquisition scenario — spend at 3:1 CAC ceiling</x:v>
      </x:c>
      <x:c r="F32" s="146" t="str">
        <x:v>Current paid-acquisition scenario — spend at 3:1 CAC ceiling</x:v>
      </x:c>
      <x:c r="G32" s="146" t="str">
        <x:v>Current paid-acquisition scenario — spend at 3:1 CAC ceiling</x:v>
      </x:c>
      <x:c r="H32" s="146" t="str">
        <x:v>Current paid-acquisition scenario — spend at 3:1 CAC ceiling</x:v>
      </x:c>
      <x:c r="I32" s="146" t="str">
        <x:v>Current paid-acquisition scenario — spend at 3:1 CAC ceiling</x:v>
      </x:c>
      <x:c r="J32" s="146" t="str">
        <x:v>Current paid-acquisition scenario — spend at 3:1 CAC ceiling</x:v>
      </x:c>
      <x:c r="K32" s="146" t="str">
        <x:v>Current paid-acquisition scenario — spend at 3:1 CAC ceiling</x:v>
      </x:c>
      <x:c r="L32" s="146" t="str">
        <x:v>Current paid-acquisition scenario — spend at 3:1 CAC ceiling</x:v>
      </x:c>
      <x:c r="M32" s="146" t="str">
        <x:v>Current paid-acquisition scenario — spend at 3:1 CAC ceiling</x:v>
      </x:c>
    </x:row>
    <x:row r="33">
      <x:c r="A33" s="147" t="str">
        <x:v>New trial users</x:v>
      </x:c>
      <x:c r="B33" s="189" t="n">
        <x:f>B16</x:f>
        <x:v>500</x:v>
      </x:c>
      <x:c r="C33" s="189" t="n">
        <x:f>C16</x:f>
        <x:v>500</x:v>
      </x:c>
      <x:c r="D33" s="189" t="n">
        <x:f>D16</x:f>
        <x:v>500</x:v>
      </x:c>
      <x:c r="E33" s="189" t="n">
        <x:f>E16</x:f>
        <x:v>500</x:v>
      </x:c>
      <x:c r="F33" s="189" t="n">
        <x:f>F16</x:f>
        <x:v>500</x:v>
      </x:c>
      <x:c r="G33" s="189" t="n">
        <x:f>G16</x:f>
        <x:v>500</x:v>
      </x:c>
      <x:c r="H33" s="189" t="n">
        <x:f>H16</x:f>
        <x:v>500</x:v>
      </x:c>
      <x:c r="I33" s="189" t="n">
        <x:f>I16</x:f>
        <x:v>500</x:v>
      </x:c>
      <x:c r="J33" s="189" t="n">
        <x:f>J16</x:f>
        <x:v>500</x:v>
      </x:c>
      <x:c r="K33" s="189" t="n">
        <x:f>K16</x:f>
        <x:v>500</x:v>
      </x:c>
      <x:c r="L33" s="189" t="n">
        <x:f>L16</x:f>
        <x:v>500</x:v>
      </x:c>
      <x:c r="M33" s="189" t="n">
        <x:f>M16</x:f>
        <x:v>500</x:v>
      </x:c>
    </x:row>
    <x:row r="34">
      <x:c r="A34" s="149" t="str">
        <x:v>New paid starts</x:v>
      </x:c>
      <x:c r="B34" s="192" t="n">
        <x:f>B17</x:f>
        <x:v>0</x:v>
      </x:c>
      <x:c r="C34" s="192" t="n">
        <x:f>C17</x:f>
        <x:v>10</x:v>
      </x:c>
      <x:c r="D34" s="192" t="n">
        <x:f>D17</x:f>
        <x:v>10</x:v>
      </x:c>
      <x:c r="E34" s="192" t="n">
        <x:f>E17</x:f>
        <x:v>10</x:v>
      </x:c>
      <x:c r="F34" s="192" t="n">
        <x:f>F17</x:f>
        <x:v>10</x:v>
      </x:c>
      <x:c r="G34" s="192" t="n">
        <x:f>G17</x:f>
        <x:v>10</x:v>
      </x:c>
      <x:c r="H34" s="192" t="n">
        <x:f>H17</x:f>
        <x:v>10</x:v>
      </x:c>
      <x:c r="I34" s="192" t="n">
        <x:f>I17</x:f>
        <x:v>10</x:v>
      </x:c>
      <x:c r="J34" s="192" t="n">
        <x:f>J17</x:f>
        <x:v>10</x:v>
      </x:c>
      <x:c r="K34" s="192" t="n">
        <x:f>K17</x:f>
        <x:v>10</x:v>
      </x:c>
      <x:c r="L34" s="192" t="n">
        <x:f>L17</x:f>
        <x:v>10</x:v>
      </x:c>
      <x:c r="M34" s="192" t="n">
        <x:f>M17</x:f>
        <x:v>10</x:v>
      </x:c>
    </x:row>
    <x:row r="35">
      <x:c r="A35" s="149" t="str">
        <x:v>Active paid users</x:v>
      </x:c>
      <x:c r="B35" s="192" t="n">
        <x:f>B18</x:f>
        <x:v>0</x:v>
      </x:c>
      <x:c r="C35" s="192" t="n">
        <x:f>C18</x:f>
        <x:v>10</x:v>
      </x:c>
      <x:c r="D35" s="192" t="n">
        <x:f>D18</x:f>
        <x:v>20</x:v>
      </x:c>
      <x:c r="E35" s="192" t="n">
        <x:f>E18</x:f>
        <x:v>30</x:v>
      </x:c>
      <x:c r="F35" s="192" t="n">
        <x:f>F18</x:f>
        <x:v>40</x:v>
      </x:c>
      <x:c r="G35" s="192" t="n">
        <x:f>G18</x:f>
        <x:v>50</x:v>
      </x:c>
      <x:c r="H35" s="192" t="n">
        <x:f>H18</x:f>
        <x:v>60</x:v>
      </x:c>
      <x:c r="I35" s="192" t="n">
        <x:f>I18</x:f>
        <x:v>60</x:v>
      </x:c>
      <x:c r="J35" s="192" t="n">
        <x:f>J18</x:f>
        <x:v>60</x:v>
      </x:c>
      <x:c r="K35" s="192" t="n">
        <x:f>K18</x:f>
        <x:v>60</x:v>
      </x:c>
      <x:c r="L35" s="192" t="n">
        <x:f>L18</x:f>
        <x:v>60</x:v>
      </x:c>
      <x:c r="M35" s="192" t="n">
        <x:f>M18</x:f>
        <x:v>60</x:v>
      </x:c>
    </x:row>
    <x:row r="36">
      <x:c r="A36" s="149" t="str">
        <x:v>Revenue</x:v>
      </x:c>
      <x:c r="B36" s="190" t="n">
        <x:f>B19</x:f>
        <x:v>0</x:v>
      </x:c>
      <x:c r="C36" s="190" t="n">
        <x:f>C19</x:f>
        <x:v>100</x:v>
      </x:c>
      <x:c r="D36" s="190" t="n">
        <x:f>D19</x:f>
        <x:v>200</x:v>
      </x:c>
      <x:c r="E36" s="190" t="n">
        <x:f>E19</x:f>
        <x:v>300</x:v>
      </x:c>
      <x:c r="F36" s="190" t="n">
        <x:f>F19</x:f>
        <x:v>400</x:v>
      </x:c>
      <x:c r="G36" s="190" t="n">
        <x:f>G19</x:f>
        <x:v>500</x:v>
      </x:c>
      <x:c r="H36" s="190" t="n">
        <x:f>H19</x:f>
        <x:v>600</x:v>
      </x:c>
      <x:c r="I36" s="190" t="n">
        <x:f>I19</x:f>
        <x:v>600</x:v>
      </x:c>
      <x:c r="J36" s="190" t="n">
        <x:f>J19</x:f>
        <x:v>600</x:v>
      </x:c>
      <x:c r="K36" s="190" t="n">
        <x:f>K19</x:f>
        <x:v>600</x:v>
      </x:c>
      <x:c r="L36" s="190" t="n">
        <x:f>L19</x:f>
        <x:v>600</x:v>
      </x:c>
      <x:c r="M36" s="190" t="n">
        <x:f>M19</x:f>
        <x:v>600</x:v>
      </x:c>
    </x:row>
    <x:row r="37">
      <x:c r="A37" s="149" t="str">
        <x:v>Variable cost</x:v>
      </x:c>
      <x:c r="B37" s="190" t="n">
        <x:f>B22</x:f>
        <x:v>13.124999999999998</x:v>
      </x:c>
      <x:c r="C37" s="190" t="n">
        <x:f>C22</x:f>
        <x:v>19.9875</x:v>
      </x:c>
      <x:c r="D37" s="190" t="n">
        <x:f>D22</x:f>
        <x:v>26.85</x:v>
      </x:c>
      <x:c r="E37" s="190" t="n">
        <x:f>E22</x:f>
        <x:v>33.712500000000006</x:v>
      </x:c>
      <x:c r="F37" s="190" t="n">
        <x:f>F22</x:f>
        <x:v>54.75</x:v>
      </x:c>
      <x:c r="G37" s="190" t="n">
        <x:f>G22</x:f>
        <x:v>61.875</x:v>
      </x:c>
      <x:c r="H37" s="190" t="n">
        <x:f>H22</x:f>
        <x:v>69</x:v>
      </x:c>
      <x:c r="I37" s="190" t="n">
        <x:f>I22</x:f>
        <x:v>69</x:v>
      </x:c>
      <x:c r="J37" s="190" t="n">
        <x:f>J22</x:f>
        <x:v>69</x:v>
      </x:c>
      <x:c r="K37" s="190" t="n">
        <x:f>K22</x:f>
        <x:v>69</x:v>
      </x:c>
      <x:c r="L37" s="190" t="n">
        <x:f>L22</x:f>
        <x:v>69</x:v>
      </x:c>
      <x:c r="M37" s="190" t="n">
        <x:f>M22</x:f>
        <x:v>69</x:v>
      </x:c>
    </x:row>
    <x:row r="38">
      <x:c r="A38" s="149" t="str">
        <x:v>Contribution</x:v>
      </x:c>
      <x:c r="B38" s="190" t="n">
        <x:f>B23</x:f>
        <x:v>-13.124999999999998</x:v>
      </x:c>
      <x:c r="C38" s="190" t="n">
        <x:f>C23</x:f>
        <x:v>80.0125</x:v>
      </x:c>
      <x:c r="D38" s="190" t="n">
        <x:f>D23</x:f>
        <x:v>173.15</x:v>
      </x:c>
      <x:c r="E38" s="190" t="n">
        <x:f>E23</x:f>
        <x:v>266.2875</x:v>
      </x:c>
      <x:c r="F38" s="190" t="n">
        <x:f>F23</x:f>
        <x:v>345.25</x:v>
      </x:c>
      <x:c r="G38" s="190" t="n">
        <x:f>G23</x:f>
        <x:v>438.125</x:v>
      </x:c>
      <x:c r="H38" s="190" t="n">
        <x:f>H23</x:f>
        <x:v>531</x:v>
      </x:c>
      <x:c r="I38" s="190" t="n">
        <x:f>I23</x:f>
        <x:v>531</x:v>
      </x:c>
      <x:c r="J38" s="190" t="n">
        <x:f>J23</x:f>
        <x:v>531</x:v>
      </x:c>
      <x:c r="K38" s="190" t="n">
        <x:f>K23</x:f>
        <x:v>531</x:v>
      </x:c>
      <x:c r="L38" s="190" t="n">
        <x:f>L23</x:f>
        <x:v>531</x:v>
      </x:c>
      <x:c r="M38" s="190" t="n">
        <x:f>M23</x:f>
        <x:v>531</x:v>
      </x:c>
    </x:row>
    <x:row r="39">
      <x:c r="A39" s="149" t="str">
        <x:v>Fixed software OpEx</x:v>
      </x:c>
      <x:c r="B39" s="190" t="n">
        <x:f>B24</x:f>
        <x:v>45</x:v>
      </x:c>
      <x:c r="C39" s="190" t="n">
        <x:f>C24</x:f>
        <x:v>45</x:v>
      </x:c>
      <x:c r="D39" s="190" t="n">
        <x:f>D24</x:f>
        <x:v>45</x:v>
      </x:c>
      <x:c r="E39" s="190" t="n">
        <x:f>E24</x:f>
        <x:v>45</x:v>
      </x:c>
      <x:c r="F39" s="190" t="n">
        <x:f>F24</x:f>
        <x:v>45</x:v>
      </x:c>
      <x:c r="G39" s="190" t="n">
        <x:f>G24</x:f>
        <x:v>45</x:v>
      </x:c>
      <x:c r="H39" s="190" t="n">
        <x:f>H24</x:f>
        <x:v>45</x:v>
      </x:c>
      <x:c r="I39" s="190" t="n">
        <x:f>I24</x:f>
        <x:v>45</x:v>
      </x:c>
      <x:c r="J39" s="190" t="n">
        <x:f>J24</x:f>
        <x:v>45</x:v>
      </x:c>
      <x:c r="K39" s="190" t="n">
        <x:f>K24</x:f>
        <x:v>45</x:v>
      </x:c>
      <x:c r="L39" s="190" t="n">
        <x:f>L24</x:f>
        <x:v>45</x:v>
      </x:c>
      <x:c r="M39" s="190" t="n">
        <x:f>M24</x:f>
        <x:v>45</x:v>
      </x:c>
    </x:row>
    <x:row r="40">
      <x:c r="A40" s="149" t="str">
        <x:v>Acquisition spend</x:v>
      </x:c>
      <x:c r="B40" s="190" t="n">
        <x:f>'Assumptions'!$B$30*'Assumptions'!$B$10</x:f>
        <x:v>185.75</x:v>
      </x:c>
      <x:c r="C40" s="190" t="n">
        <x:f>'Assumptions'!$B$30*'Assumptions'!$B$10</x:f>
        <x:v>185.75</x:v>
      </x:c>
      <x:c r="D40" s="190" t="n">
        <x:f>'Assumptions'!$B$30*'Assumptions'!$B$10</x:f>
        <x:v>185.75</x:v>
      </x:c>
      <x:c r="E40" s="190" t="n">
        <x:f>'Assumptions'!$B$30*'Assumptions'!$B$10</x:f>
        <x:v>185.75</x:v>
      </x:c>
      <x:c r="F40" s="190" t="n">
        <x:f>'Assumptions'!$B$30*'Assumptions'!$B$10</x:f>
        <x:v>185.75</x:v>
      </x:c>
      <x:c r="G40" s="190" t="n">
        <x:f>'Assumptions'!$B$30*'Assumptions'!$B$10</x:f>
        <x:v>185.75</x:v>
      </x:c>
      <x:c r="H40" s="190" t="n">
        <x:f>'Assumptions'!$B$30*'Assumptions'!$B$10</x:f>
        <x:v>185.75</x:v>
      </x:c>
      <x:c r="I40" s="190" t="n">
        <x:f>'Assumptions'!$B$30*'Assumptions'!$B$10</x:f>
        <x:v>185.75</x:v>
      </x:c>
      <x:c r="J40" s="190" t="n">
        <x:f>'Assumptions'!$B$30*'Assumptions'!$B$10</x:f>
        <x:v>185.75</x:v>
      </x:c>
      <x:c r="K40" s="190" t="n">
        <x:f>'Assumptions'!$B$30*'Assumptions'!$B$10</x:f>
        <x:v>185.75</x:v>
      </x:c>
      <x:c r="L40" s="190" t="n">
        <x:f>'Assumptions'!$B$30*'Assumptions'!$B$10</x:f>
        <x:v>185.75</x:v>
      </x:c>
      <x:c r="M40" s="190" t="n">
        <x:f>'Assumptions'!$B$30*'Assumptions'!$B$10</x:f>
        <x:v>185.75</x:v>
      </x:c>
    </x:row>
    <x:row r="41">
      <x:c r="A41" s="182" t="str">
        <x:v>Operating profit</x:v>
      </x:c>
      <x:c r="B41" s="194" t="n">
        <x:f>B38-B39-B40</x:f>
        <x:v>-243.875</x:v>
      </x:c>
      <x:c r="C41" s="194" t="n">
        <x:f>C38-C39-C40</x:f>
        <x:v>-150.7375</x:v>
      </x:c>
      <x:c r="D41" s="194" t="n">
        <x:f>D38-D39-D40</x:f>
        <x:v>-57.599999999999994</x:v>
      </x:c>
      <x:c r="E41" s="194" t="n">
        <x:f>E38-E39-E40</x:f>
        <x:v>35.53750000000002</x:v>
      </x:c>
      <x:c r="F41" s="194" t="n">
        <x:f>F38-F39-F40</x:f>
        <x:v>114.5</x:v>
      </x:c>
      <x:c r="G41" s="194" t="n">
        <x:f>G38-G39-G40</x:f>
        <x:v>207.375</x:v>
      </x:c>
      <x:c r="H41" s="194" t="n">
        <x:f>H38-H39-H40</x:f>
        <x:v>300.25</x:v>
      </x:c>
      <x:c r="I41" s="194" t="n">
        <x:f>I38-I39-I40</x:f>
        <x:v>300.25</x:v>
      </x:c>
      <x:c r="J41" s="194" t="n">
        <x:f>J38-J39-J40</x:f>
        <x:v>300.25</x:v>
      </x:c>
      <x:c r="K41" s="194" t="n">
        <x:f>K38-K39-K40</x:f>
        <x:v>300.25</x:v>
      </x:c>
      <x:c r="L41" s="194" t="n">
        <x:f>L38-L39-L40</x:f>
        <x:v>300.25</x:v>
      </x:c>
      <x:c r="M41" s="194" t="n">
        <x:f>M38-M39-M40</x:f>
        <x:v>300.25</x:v>
      </x:c>
    </x:row>
    <x:row r="42">
      <x:c r="A42" s="182" t="str">
        <x:v>Cumulative cash</x:v>
      </x:c>
      <x:c r="B42" s="194" t="n">
        <x:f>'Assumptions'!$B$31+SUM($B$41:B41)</x:f>
        <x:v>-243.875</x:v>
      </x:c>
      <x:c r="C42" s="194" t="n">
        <x:f>'Assumptions'!$B$31+SUM($B$41:C41)</x:f>
        <x:v>-394.6125</x:v>
      </x:c>
      <x:c r="D42" s="194" t="n">
        <x:f>'Assumptions'!$B$31+SUM($B$41:D41)</x:f>
        <x:v>-452.2125</x:v>
      </x:c>
      <x:c r="E42" s="194" t="n">
        <x:f>'Assumptions'!$B$31+SUM($B$41:E41)</x:f>
        <x:v>-416.67499999999995</x:v>
      </x:c>
      <x:c r="F42" s="194" t="n">
        <x:f>'Assumptions'!$B$31+SUM($B$41:F41)</x:f>
        <x:v>-302.17499999999995</x:v>
      </x:c>
      <x:c r="G42" s="194" t="n">
        <x:f>'Assumptions'!$B$31+SUM($B$41:G41)</x:f>
        <x:v>-94.79999999999995</x:v>
      </x:c>
      <x:c r="H42" s="194" t="n">
        <x:f>'Assumptions'!$B$31+SUM($B$41:H41)</x:f>
        <x:v>205.45000000000005</x:v>
      </x:c>
      <x:c r="I42" s="194" t="n">
        <x:f>'Assumptions'!$B$31+SUM($B$41:I41)</x:f>
        <x:v>505.70000000000005</x:v>
      </x:c>
      <x:c r="J42" s="194" t="n">
        <x:f>'Assumptions'!$B$31+SUM($B$41:J41)</x:f>
        <x:v>805.95</x:v>
      </x:c>
      <x:c r="K42" s="194" t="n">
        <x:f>'Assumptions'!$B$31+SUM($B$41:K41)</x:f>
        <x:v>1106.2</x:v>
      </x:c>
      <x:c r="L42" s="194" t="n">
        <x:f>'Assumptions'!$B$31+SUM($B$41:L41)</x:f>
        <x:v>1406.45</x:v>
      </x:c>
      <x:c r="M42" s="194" t="n">
        <x:f>'Assumptions'!$B$31+SUM($B$41:M41)</x:f>
        <x:v>1706.7</x:v>
      </x:c>
    </x:row>
    <x:row r="43">
      <x:c r="A43" s="149" t="str">
        <x:v>Monthly profitable?</x:v>
      </x:c>
      <x:c r="B43" s="149" t="str">
        <x:f>IF(B41&gt;0,"Yes","No")</x:f>
        <x:v>No</x:v>
      </x:c>
      <x:c r="C43" s="149" t="str">
        <x:f>IF(C41&gt;0,"Yes","No")</x:f>
        <x:v>No</x:v>
      </x:c>
      <x:c r="D43" s="149" t="str">
        <x:f>IF(D41&gt;0,"Yes","No")</x:f>
        <x:v>No</x:v>
      </x:c>
      <x:c r="E43" s="149" t="str">
        <x:f>IF(E41&gt;0,"Yes","No")</x:f>
        <x:v>Yes</x:v>
      </x:c>
      <x:c r="F43" s="149" t="str">
        <x:f>IF(F41&gt;0,"Yes","No")</x:f>
        <x:v>Yes</x:v>
      </x:c>
      <x:c r="G43" s="149" t="str">
        <x:f>IF(G41&gt;0,"Yes","No")</x:f>
        <x:v>Yes</x:v>
      </x:c>
      <x:c r="H43" s="149" t="str">
        <x:f>IF(H41&gt;0,"Yes","No")</x:f>
        <x:v>Yes</x:v>
      </x:c>
      <x:c r="I43" s="149" t="str">
        <x:f>IF(I41&gt;0,"Yes","No")</x:f>
        <x:v>Yes</x:v>
      </x:c>
      <x:c r="J43" s="149" t="str">
        <x:f>IF(J41&gt;0,"Yes","No")</x:f>
        <x:v>Yes</x:v>
      </x:c>
      <x:c r="K43" s="149" t="str">
        <x:f>IF(K41&gt;0,"Yes","No")</x:f>
        <x:v>Yes</x:v>
      </x:c>
      <x:c r="L43" s="149" t="str">
        <x:f>IF(L41&gt;0,"Yes","No")</x:f>
        <x:v>Yes</x:v>
      </x:c>
      <x:c r="M43" s="149" t="str">
        <x:f>IF(M41&gt;0,"Yes","No")</x:f>
        <x:v>Yes</x:v>
      </x:c>
    </x:row>
    <x:row r="44">
      <x:c r="A44" s="151" t="str">
        <x:v>Cumulative cash non-negative?</x:v>
      </x:c>
      <x:c r="B44" s="151" t="str">
        <x:f>IF(B42&gt;=0,"Yes","No")</x:f>
        <x:v>No</x:v>
      </x:c>
      <x:c r="C44" s="151" t="str">
        <x:f>IF(C42&gt;=0,"Yes","No")</x:f>
        <x:v>No</x:v>
      </x:c>
      <x:c r="D44" s="151" t="str">
        <x:f>IF(D42&gt;=0,"Yes","No")</x:f>
        <x:v>No</x:v>
      </x:c>
      <x:c r="E44" s="151" t="str">
        <x:f>IF(E42&gt;=0,"Yes","No")</x:f>
        <x:v>No</x:v>
      </x:c>
      <x:c r="F44" s="151" t="str">
        <x:f>IF(F42&gt;=0,"Yes","No")</x:f>
        <x:v>No</x:v>
      </x:c>
      <x:c r="G44" s="151" t="str">
        <x:f>IF(G42&gt;=0,"Yes","No")</x:f>
        <x:v>No</x:v>
      </x:c>
      <x:c r="H44" s="151" t="str">
        <x:f>IF(H42&gt;=0,"Yes","No")</x:f>
        <x:v>Yes</x:v>
      </x:c>
      <x:c r="I44" s="151" t="str">
        <x:f>IF(I42&gt;=0,"Yes","No")</x:f>
        <x:v>Yes</x:v>
      </x:c>
      <x:c r="J44" s="151" t="str">
        <x:f>IF(J42&gt;=0,"Yes","No")</x:f>
        <x:v>Yes</x:v>
      </x:c>
      <x:c r="K44" s="151" t="str">
        <x:f>IF(K42&gt;=0,"Yes","No")</x:f>
        <x:v>Yes</x:v>
      </x:c>
      <x:c r="L44" s="151" t="str">
        <x:f>IF(L42&gt;=0,"Yes","No")</x:f>
        <x:v>Yes</x:v>
      </x:c>
      <x:c r="M44" s="151" t="str">
        <x:f>IF(M42&gt;=0,"Yes","No")</x:f>
        <x:v>Yes</x:v>
      </x:c>
    </x:row>
    <x:row r="45">
      <x:c r="A45" s="124"/>
      <x:c r="B45" s="124"/>
      <x:c r="C45" s="124"/>
      <x:c r="D45" s="124"/>
      <x:c r="E45" s="124"/>
      <x:c r="F45" s="124"/>
      <x:c r="G45" s="124"/>
      <x:c r="H45" s="124"/>
      <x:c r="I45" s="124"/>
      <x:c r="J45" s="124"/>
      <x:c r="K45" s="124"/>
      <x:c r="L45" s="124"/>
      <x:c r="M45" s="124"/>
    </x:row>
    <x:row r="46">
      <x:c r="A46" s="124"/>
      <x:c r="B46" s="124"/>
      <x:c r="C46" s="124"/>
      <x:c r="D46" s="124"/>
      <x:c r="E46" s="124"/>
      <x:c r="F46" s="124"/>
      <x:c r="G46" s="124"/>
      <x:c r="H46" s="124"/>
      <x:c r="I46" s="124"/>
      <x:c r="J46" s="124"/>
      <x:c r="K46" s="124"/>
      <x:c r="L46" s="124"/>
      <x:c r="M46" s="124"/>
    </x:row>
    <x:row r="47">
      <x:c r="A47" s="124"/>
      <x:c r="B47" s="124"/>
      <x:c r="C47" s="124"/>
      <x:c r="D47" s="124"/>
      <x:c r="E47" s="124"/>
      <x:c r="F47" s="124"/>
      <x:c r="G47" s="124"/>
      <x:c r="H47" s="124"/>
      <x:c r="I47" s="124"/>
      <x:c r="J47" s="124"/>
      <x:c r="K47" s="124"/>
      <x:c r="L47" s="124"/>
      <x:c r="M47" s="124"/>
    </x:row>
    <x:row r="48" ht="26" customHeight="1">
      <x:c r="A48" s="126" t="str">
        <x:v>Period</x:v>
      </x:c>
      <x:c r="B48" s="126" t="str">
        <x:v>Historical Feb 23</x:v>
      </x:c>
      <x:c r="C48" s="126" t="str">
        <x:v>Current organic</x:v>
      </x:c>
      <x:c r="D48" s="126" t="str">
        <x:v>Current paid CAC</x:v>
      </x:c>
      <x:c r="E48" s="124"/>
      <x:c r="F48" s="124"/>
      <x:c r="G48" s="124"/>
      <x:c r="H48" s="124"/>
      <x:c r="I48" s="124"/>
      <x:c r="J48" s="124"/>
      <x:c r="K48" s="124"/>
      <x:c r="L48" s="124"/>
      <x:c r="M48" s="124"/>
    </x:row>
    <x:row r="49">
      <x:c r="A49" s="124" t="str">
        <x:f>TEXT(B$4,"mmm yy")</x:f>
        <x:v>Sep 26</x:v>
      </x:c>
      <x:c r="B49" s="128" t="n">
        <x:f>B$11</x:f>
        <x:v>0.8000000000000114</x:v>
      </x:c>
      <x:c r="C49" s="128" t="n">
        <x:f>B$26</x:f>
        <x:v>-58.125</x:v>
      </x:c>
      <x:c r="D49" s="128" t="n">
        <x:f>B$41</x:f>
        <x:v>-243.875</x:v>
      </x:c>
      <x:c r="E49" s="124"/>
      <x:c r="F49" s="124"/>
      <x:c r="G49" s="124"/>
      <x:c r="H49" s="124"/>
      <x:c r="I49" s="124"/>
      <x:c r="J49" s="124"/>
      <x:c r="K49" s="124"/>
      <x:c r="L49" s="124"/>
      <x:c r="M49" s="124"/>
    </x:row>
    <x:row r="50">
      <x:c r="A50" s="124" t="str">
        <x:f>TEXT(C$4,"mmm yy")</x:f>
        <x:v>Oct 26</x:v>
      </x:c>
      <x:c r="B50" s="128" t="n">
        <x:f>C$11</x:f>
        <x:v>95.60000000000002</x:v>
      </x:c>
      <x:c r="C50" s="128" t="n">
        <x:f>C$26</x:f>
        <x:v>35.0125</x:v>
      </x:c>
      <x:c r="D50" s="128" t="n">
        <x:f>C$41</x:f>
        <x:v>-150.7375</x:v>
      </x:c>
      <x:c r="E50" s="124"/>
      <x:c r="F50" s="124"/>
      <x:c r="G50" s="124"/>
      <x:c r="H50" s="124"/>
      <x:c r="I50" s="124"/>
      <x:c r="J50" s="124"/>
      <x:c r="K50" s="124"/>
      <x:c r="L50" s="124"/>
      <x:c r="M50" s="124"/>
    </x:row>
    <x:row r="51">
      <x:c r="A51" s="124" t="str">
        <x:f>TEXT(D$4,"mmm yy")</x:f>
        <x:v>Nov 26</x:v>
      </x:c>
      <x:c r="B51" s="128" t="n">
        <x:f>D$11</x:f>
        <x:v>190.40000000000003</x:v>
      </x:c>
      <x:c r="C51" s="128" t="n">
        <x:f>D$26</x:f>
        <x:v>128.15</x:v>
      </x:c>
      <x:c r="D51" s="128" t="n">
        <x:f>D$41</x:f>
        <x:v>-57.599999999999994</x:v>
      </x:c>
      <x:c r="E51" s="124"/>
      <x:c r="F51" s="124"/>
      <x:c r="G51" s="124"/>
      <x:c r="H51" s="124"/>
      <x:c r="I51" s="124"/>
      <x:c r="J51" s="124"/>
      <x:c r="K51" s="124"/>
      <x:c r="L51" s="124"/>
      <x:c r="M51" s="124"/>
    </x:row>
    <x:row r="52">
      <x:c r="A52" s="124" t="str">
        <x:f>TEXT(E$4,"mmm yy")</x:f>
        <x:v>Dec 26</x:v>
      </x:c>
      <x:c r="B52" s="128" t="n">
        <x:f>E$11</x:f>
        <x:v>285.20000000000005</x:v>
      </x:c>
      <x:c r="C52" s="128" t="n">
        <x:f>E$26</x:f>
        <x:v>221.28750000000002</x:v>
      </x:c>
      <x:c r="D52" s="128" t="n">
        <x:f>E$41</x:f>
        <x:v>35.53750000000002</x:v>
      </x:c>
      <x:c r="E52" s="124"/>
      <x:c r="F52" s="124"/>
      <x:c r="G52" s="124"/>
      <x:c r="H52" s="124"/>
      <x:c r="I52" s="124"/>
      <x:c r="J52" s="124"/>
      <x:c r="K52" s="124"/>
      <x:c r="L52" s="124"/>
      <x:c r="M52" s="124"/>
    </x:row>
    <x:row r="53">
      <x:c r="A53" s="124" t="str">
        <x:f>TEXT(F$4,"mmm yy")</x:f>
        <x:v>Jan 27</x:v>
      </x:c>
      <x:c r="B53" s="128" t="n">
        <x:f>F$11</x:f>
        <x:v>380</x:v>
      </x:c>
      <x:c r="C53" s="128" t="n">
        <x:f>F$26</x:f>
        <x:v>300.25</x:v>
      </x:c>
      <x:c r="D53" s="128" t="n">
        <x:f>F$41</x:f>
        <x:v>114.5</x:v>
      </x:c>
      <x:c r="E53" s="124"/>
      <x:c r="F53" s="124"/>
      <x:c r="G53" s="124"/>
      <x:c r="H53" s="124"/>
      <x:c r="I53" s="124"/>
      <x:c r="J53" s="124"/>
      <x:c r="K53" s="124"/>
      <x:c r="L53" s="124"/>
      <x:c r="M53" s="124"/>
    </x:row>
    <x:row r="54">
      <x:c r="A54" s="124" t="str">
        <x:f>TEXT(G$4,"mmm yy")</x:f>
        <x:v>Feb 27</x:v>
      </x:c>
      <x:c r="B54" s="128" t="n">
        <x:f>G$11</x:f>
        <x:v>474.80000000000007</x:v>
      </x:c>
      <x:c r="C54" s="128" t="n">
        <x:f>G$26</x:f>
        <x:v>393.125</x:v>
      </x:c>
      <x:c r="D54" s="128" t="n">
        <x:f>G$41</x:f>
        <x:v>207.375</x:v>
      </x:c>
      <x:c r="E54" s="124"/>
      <x:c r="F54" s="124"/>
      <x:c r="G54" s="124"/>
      <x:c r="H54" s="124"/>
      <x:c r="I54" s="124"/>
      <x:c r="J54" s="124"/>
      <x:c r="K54" s="124"/>
      <x:c r="L54" s="124"/>
      <x:c r="M54" s="124"/>
    </x:row>
    <x:row r="55">
      <x:c r="A55" s="124" t="str">
        <x:f>TEXT(H$4,"mmm yy")</x:f>
        <x:v>Mar 27</x:v>
      </x:c>
      <x:c r="B55" s="128" t="n">
        <x:f>H$11</x:f>
        <x:v>474.80000000000007</x:v>
      </x:c>
      <x:c r="C55" s="128" t="n">
        <x:f>H$26</x:f>
        <x:v>486</x:v>
      </x:c>
      <x:c r="D55" s="128" t="n">
        <x:f>H$41</x:f>
        <x:v>300.25</x:v>
      </x:c>
      <x:c r="E55" s="124"/>
      <x:c r="F55" s="124"/>
      <x:c r="G55" s="124"/>
      <x:c r="H55" s="124"/>
      <x:c r="I55" s="124"/>
      <x:c r="J55" s="124"/>
      <x:c r="K55" s="124"/>
      <x:c r="L55" s="124"/>
      <x:c r="M55" s="124"/>
    </x:row>
    <x:row r="56">
      <x:c r="A56" s="124" t="str">
        <x:f>TEXT(I$4,"mmm yy")</x:f>
        <x:v>Apr 27</x:v>
      </x:c>
      <x:c r="B56" s="128" t="n">
        <x:f>I$11</x:f>
        <x:v>474.80000000000007</x:v>
      </x:c>
      <x:c r="C56" s="128" t="n">
        <x:f>I$26</x:f>
        <x:v>486</x:v>
      </x:c>
      <x:c r="D56" s="128" t="n">
        <x:f>I$41</x:f>
        <x:v>300.25</x:v>
      </x:c>
      <x:c r="E56" s="124"/>
      <x:c r="F56" s="124"/>
      <x:c r="G56" s="124"/>
      <x:c r="H56" s="124"/>
      <x:c r="I56" s="124"/>
      <x:c r="J56" s="124"/>
      <x:c r="K56" s="124"/>
      <x:c r="L56" s="124"/>
      <x:c r="M56" s="124"/>
    </x:row>
    <x:row r="57">
      <x:c r="A57" s="124" t="str">
        <x:f>TEXT(J$4,"mmm yy")</x:f>
        <x:v>May 27</x:v>
      </x:c>
      <x:c r="B57" s="128" t="n">
        <x:f>J$11</x:f>
        <x:v>474.80000000000007</x:v>
      </x:c>
      <x:c r="C57" s="128" t="n">
        <x:f>J$26</x:f>
        <x:v>486</x:v>
      </x:c>
      <x:c r="D57" s="128" t="n">
        <x:f>J$41</x:f>
        <x:v>300.25</x:v>
      </x:c>
      <x:c r="E57" s="124"/>
      <x:c r="F57" s="124"/>
      <x:c r="G57" s="124"/>
      <x:c r="H57" s="124"/>
      <x:c r="I57" s="124"/>
      <x:c r="J57" s="124"/>
      <x:c r="K57" s="124"/>
      <x:c r="L57" s="124"/>
      <x:c r="M57" s="124"/>
    </x:row>
    <x:row r="58">
      <x:c r="A58" s="124" t="str">
        <x:f>TEXT(K$4,"mmm yy")</x:f>
        <x:v>Jun 27</x:v>
      </x:c>
      <x:c r="B58" s="128" t="n">
        <x:f>K$11</x:f>
        <x:v>474.80000000000007</x:v>
      </x:c>
      <x:c r="C58" s="128" t="n">
        <x:f>K$26</x:f>
        <x:v>486</x:v>
      </x:c>
      <x:c r="D58" s="128" t="n">
        <x:f>K$41</x:f>
        <x:v>300.25</x:v>
      </x:c>
      <x:c r="E58" s="124"/>
      <x:c r="F58" s="124"/>
      <x:c r="G58" s="124"/>
      <x:c r="H58" s="124"/>
      <x:c r="I58" s="124"/>
      <x:c r="J58" s="124"/>
      <x:c r="K58" s="124"/>
      <x:c r="L58" s="124"/>
      <x:c r="M58" s="124"/>
    </x:row>
    <x:row r="59">
      <x:c r="A59" s="124" t="str">
        <x:f>TEXT(L$4,"mmm yy")</x:f>
        <x:v>Jul 27</x:v>
      </x:c>
      <x:c r="B59" s="128" t="n">
        <x:f>L$11</x:f>
        <x:v>474.80000000000007</x:v>
      </x:c>
      <x:c r="C59" s="128" t="n">
        <x:f>L$26</x:f>
        <x:v>486</x:v>
      </x:c>
      <x:c r="D59" s="128" t="n">
        <x:f>L$41</x:f>
        <x:v>300.25</x:v>
      </x:c>
      <x:c r="E59" s="124"/>
      <x:c r="F59" s="124"/>
      <x:c r="G59" s="124"/>
      <x:c r="H59" s="124"/>
      <x:c r="I59" s="124"/>
      <x:c r="J59" s="124"/>
      <x:c r="K59" s="124"/>
      <x:c r="L59" s="124"/>
      <x:c r="M59" s="124"/>
    </x:row>
    <x:row r="60">
      <x:c r="A60" s="124" t="str">
        <x:f>TEXT(M$4,"mmm yy")</x:f>
        <x:v>Aug 27</x:v>
      </x:c>
      <x:c r="B60" s="128" t="n">
        <x:f>M$11</x:f>
        <x:v>474.80000000000007</x:v>
      </x:c>
      <x:c r="C60" s="128" t="n">
        <x:f>M$26</x:f>
        <x:v>486</x:v>
      </x:c>
      <x:c r="D60" s="128" t="n">
        <x:f>M$41</x:f>
        <x:v>300.25</x:v>
      </x:c>
      <x:c r="E60" s="124"/>
      <x:c r="F60" s="124"/>
      <x:c r="G60" s="124"/>
      <x:c r="H60" s="124"/>
      <x:c r="I60" s="124"/>
      <x:c r="J60" s="124"/>
      <x:c r="K60" s="124"/>
      <x:c r="L60" s="124"/>
      <x:c r="M60" s="124"/>
    </x:row>
  </x:sheetData>
  <x:mergeCells>
    <x:mergeCell ref="A1:M1"/>
    <x:mergeCell ref="A2:M3"/>
    <x:mergeCell ref="A6:M6"/>
    <x:mergeCell ref="A15:M15"/>
    <x:mergeCell ref="A32:M32"/>
  </x:mergeCells>
  <x:pageMargins left="0.7" right="0.7" top="0.75" bottom="0.75" header="0.3" footer="0.3"/>
  <x:drawing xmlns:r="http://schemas.openxmlformats.org/officeDocument/2006/relationships" r:id="R5eb82187a3af41bf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62" hidden="0" customWidth="1"/>
    <x:col min="4" max="4" width="23" hidden="0" customWidth="1"/>
    <x:col min="5" max="5" width="13" hidden="0" customWidth="1"/>
    <x:col min="6" max="6" width="13" hidden="0" customWidth="1"/>
  </x:cols>
  <x:sheetData>
    <x:row r="1" ht="34" customHeight="1">
      <x:c r="A1" s="123" t="str">
        <x:v>Unit economics, CAC and LTV</x:v>
      </x:c>
      <x:c r="B1" s="123" t="str">
        <x:v>Unit economics, CAC and LTV</x:v>
      </x:c>
      <x:c r="C1" s="123" t="str">
        <x:v>Unit economics, CAC and LTV</x:v>
      </x:c>
      <x:c r="D1" s="123" t="str">
        <x:v>Unit economics, CAC and LTV</x:v>
      </x:c>
      <x:c r="E1" s="123" t="str">
        <x:v>Unit economics, CAC and LTV</x:v>
      </x:c>
      <x:c r="F1" s="123" t="str">
        <x:v>Unit economics, CAC and LTV</x:v>
      </x:c>
    </x:row>
    <x:row r="2" ht="32" customHeight="1">
      <x:c r="A2" s="125" t="str">
        <x:v>All values are contribution economics, not GAAP profit. The base case uses the higher published 2027 Gemini 3.6 Flash price so the CAC target is conservative.</x:v>
      </x:c>
      <x:c r="B2" s="125" t="str">
        <x:v>All values are contribution economics, not GAAP profit. The base case uses the higher published 2027 Gemini 3.6 Flash price so the CAC target is conservative.</x:v>
      </x:c>
      <x:c r="C2" s="125" t="str">
        <x:v>All values are contribution economics, not GAAP profit. The base case uses the higher published 2027 Gemini 3.6 Flash price so the CAC target is conservative.</x:v>
      </x:c>
      <x:c r="D2" s="125" t="str">
        <x:v>All values are contribution economics, not GAAP profit. The base case uses the higher published 2027 Gemini 3.6 Flash price so the CAC target is conservative.</x:v>
      </x:c>
      <x:c r="E2" s="125" t="str">
        <x:v>All values are contribution economics, not GAAP profit. The base case uses the higher published 2027 Gemini 3.6 Flash price so the CAC target is conservative.</x:v>
      </x:c>
      <x:c r="F2" s="125" t="str">
        <x:v>All values are contribution economics, not GAAP profit. The base case uses the higher published 2027 Gemini 3.6 Flash price so the CAC target is conservative.</x:v>
      </x:c>
    </x:row>
    <x:row r="3" ht="32" customHeight="1">
      <x:c r="A3" s="125" t="str">
        <x:v>All values are contribution economics, not GAAP profit. The base case uses the higher published 2027 Gemini 3.6 Flash price so the CAC target is conservative.</x:v>
      </x:c>
      <x:c r="B3" s="125" t="str">
        <x:v>All values are contribution economics, not GAAP profit. The base case uses the higher published 2027 Gemini 3.6 Flash price so the CAC target is conservative.</x:v>
      </x:c>
      <x:c r="C3" s="125" t="str">
        <x:v>All values are contribution economics, not GAAP profit. The base case uses the higher published 2027 Gemini 3.6 Flash price so the CAC target is conservative.</x:v>
      </x:c>
      <x:c r="D3" s="125" t="str">
        <x:v>All values are contribution economics, not GAAP profit. The base case uses the higher published 2027 Gemini 3.6 Flash price so the CAC target is conservative.</x:v>
      </x:c>
      <x:c r="E3" s="125" t="str">
        <x:v>All values are contribution economics, not GAAP profit. The base case uses the higher published 2027 Gemini 3.6 Flash price so the CAC target is conservative.</x:v>
      </x:c>
      <x:c r="F3" s="125" t="str">
        <x:v>All values are contribution economics, not GAAP profit. The base case uses the higher published 2027 Gemini 3.6 Flash price so the CAC target is conservative.</x:v>
      </x:c>
    </x:row>
    <x:row r="4" ht="26" customHeight="1">
      <x:c r="A4" s="126" t="str">
        <x:v>Metric</x:v>
      </x:c>
      <x:c r="B4" s="126" t="str">
        <x:v>Current value</x:v>
      </x:c>
      <x:c r="C4" s="126" t="str">
        <x:v>Plain-English meaning</x:v>
      </x:c>
      <x:c r="D4" s="124"/>
      <x:c r="E4" s="124"/>
      <x:c r="F4" s="124"/>
    </x:row>
    <x:row r="5">
      <x:c r="A5" s="147" t="str">
        <x:v>Monthly subscription price</x:v>
      </x:c>
      <x:c r="B5" s="177" t="n">
        <x:f>'Assumptions'!B13</x:f>
        <x:v>10</x:v>
      </x:c>
      <x:c r="C5" s="147" t="str">
        <x:v>What one paid user pays each month</x:v>
      </x:c>
      <x:c r="D5" s="124"/>
      <x:c r="E5" s="124"/>
      <x:c r="F5" s="124"/>
    </x:row>
    <x:row r="6">
      <x:c r="A6" s="149" t="str">
        <x:v>Stripe Payments fee</x:v>
      </x:c>
      <x:c r="B6" s="178" t="n">
        <x:f>'Assumptions'!B13*'Assumptions'!B17+'Assumptions'!B18</x:f>
        <x:v>0.5900000000000001</x:v>
      </x:c>
      <x:c r="C6" s="149" t="str">
        <x:v>Card-processing cost on one $10 charge</x:v>
      </x:c>
      <x:c r="D6" s="124"/>
      <x:c r="E6" s="124"/>
      <x:c r="F6" s="124"/>
    </x:row>
    <x:row r="7">
      <x:c r="A7" s="149" t="str">
        <x:v>Stripe Billing fee</x:v>
      </x:c>
      <x:c r="B7" s="178" t="n">
        <x:f>'Assumptions'!B13*'Assumptions'!B19</x:f>
        <x:v>0.07</x:v>
      </x:c>
      <x:c r="C7" s="149" t="str">
        <x:v>Subscription-billing cost on one $10 charge</x:v>
      </x:c>
      <x:c r="D7" s="124"/>
      <x:c r="E7" s="124"/>
      <x:c r="F7" s="124"/>
    </x:row>
    <x:row r="8">
      <x:c r="A8" s="149" t="str">
        <x:v>Stripe total</x:v>
      </x:c>
      <x:c r="B8" s="178" t="n">
        <x:f>SUM(B6:B7)</x:f>
        <x:v>0.6600000000000001</x:v>
      </x:c>
      <x:c r="C8" s="149" t="str">
        <x:v>Payments plus Billing</x:v>
      </x:c>
      <x:c r="D8" s="124"/>
      <x:c r="E8" s="124"/>
      <x:c r="F8" s="124"/>
    </x:row>
    <x:row r="9">
      <x:c r="A9" s="149" t="str">
        <x:v>Gemini cost / user — 2026</x:v>
      </x:c>
      <x:c r="B9" s="178" t="n">
        <x:f>'Assumptions'!B14*('Assumptions'!B15/1000000*'Assumptions'!B20+'Assumptions'!B16/1000000*'Assumptions'!B21)</x:f>
        <x:v>0.026249999999999996</x:v>
      </x:c>
      <x:c r="C9" s="149" t="str">
        <x:v>Modeled coaching calls at 2026 rate</x:v>
      </x:c>
      <x:c r="D9" s="124"/>
      <x:c r="E9" s="124"/>
      <x:c r="F9" s="124"/>
    </x:row>
    <x:row r="10">
      <x:c r="A10" s="149" t="str">
        <x:v>Gemini cost / user — 2027</x:v>
      </x:c>
      <x:c r="B10" s="178" t="n">
        <x:f>'Assumptions'!B14*('Assumptions'!B15/1000000*'Assumptions'!B22+'Assumptions'!B16/1000000*'Assumptions'!B23)</x:f>
        <x:v>0.05249999999999999</x:v>
      </x:c>
      <x:c r="C10" s="149" t="str">
        <x:v>Modeled coaching calls at published 2027 rate</x:v>
      </x:c>
      <x:c r="D10" s="124"/>
      <x:c r="E10" s="124"/>
      <x:c r="F10" s="124"/>
    </x:row>
    <x:row r="11">
      <x:c r="A11" s="173" t="str">
        <x:v>Contribution / paid user</x:v>
      </x:c>
      <x:c r="B11" s="195" t="n">
        <x:f>'Assumptions'!B13-B8-B10</x:f>
        <x:v>9.2875</x:v>
      </x:c>
      <x:c r="C11" s="173" t="str">
        <x:v>Revenue left after variable costs</x:v>
      </x:c>
      <x:c r="D11" s="124"/>
      <x:c r="E11" s="124"/>
      <x:c r="F11" s="124"/>
    </x:row>
    <x:row r="12">
      <x:c r="A12" s="173" t="str">
        <x:v>Contribution margin</x:v>
      </x:c>
      <x:c r="B12" s="196" t="n">
        <x:f>B11/'Assumptions'!B13</x:f>
        <x:v>0.92875</x:v>
      </x:c>
      <x:c r="C12" s="173" t="str">
        <x:v>Contribution divided by price</x:v>
      </x:c>
      <x:c r="D12" s="124"/>
      <x:c r="E12" s="124"/>
      <x:c r="F12" s="124"/>
    </x:row>
    <x:row r="13">
      <x:c r="A13" s="173" t="str">
        <x:v>Break-even paid users — lean</x:v>
      </x:c>
      <x:c r="B13" s="197" t="n">
        <x:f>CEILING('Assumptions'!B25/B11,1)</x:f>
        <x:v>5</x:v>
      </x:c>
      <x:c r="C13" s="173" t="str">
        <x:v>Active paid users needed to cover $45 fixed stack</x:v>
      </x:c>
      <x:c r="D13" s="124"/>
      <x:c r="E13" s="124"/>
      <x:c r="F13" s="124"/>
    </x:row>
    <x:row r="14">
      <x:c r="A14" s="173" t="str">
        <x:v>Break-even paid users — monitored</x:v>
      </x:c>
      <x:c r="B14" s="197" t="n">
        <x:f>CEILING('Assumptions'!B26/B11,1)</x:f>
        <x:v>8</x:v>
      </x:c>
      <x:c r="C14" s="173" t="str">
        <x:v>Active paid users needed to cover $71 fixed stack</x:v>
      </x:c>
      <x:c r="D14" s="124"/>
      <x:c r="E14" s="124"/>
      <x:c r="F14" s="124"/>
    </x:row>
    <x:row r="15">
      <x:c r="A15" s="173" t="str">
        <x:v>Six-month contribution LTV</x:v>
      </x:c>
      <x:c r="B15" s="198" t="n">
        <x:f>B11*'Assumptions'!B11</x:f>
        <x:v>55.724999999999994</x:v>
      </x:c>
      <x:c r="C15" s="173" t="str">
        <x:v>Contribution earned over assumed paid lifetime</x:v>
      </x:c>
      <x:c r="D15" s="124"/>
      <x:c r="E15" s="124"/>
      <x:c r="F15" s="124"/>
    </x:row>
    <x:row r="16">
      <x:c r="A16" s="173" t="str">
        <x:v>3:1 CAC ceiling</x:v>
      </x:c>
      <x:c r="B16" s="198" t="n">
        <x:f>B15/3</x:f>
        <x:v>18.575</x:v>
      </x:c>
      <x:c r="C16" s="173" t="str">
        <x:v>Maximum acquisition cost at a 3× LTV-to-CAC target</x:v>
      </x:c>
      <x:c r="D16" s="124"/>
      <x:c r="E16" s="124"/>
      <x:c r="F16" s="124"/>
    </x:row>
    <x:row r="17">
      <x:c r="A17" s="185" t="str">
        <x:v>CAC payback</x:v>
      </x:c>
      <x:c r="B17" s="199" t="n">
        <x:f>B16/B11</x:f>
        <x:v>2</x:v>
      </x:c>
      <x:c r="C17" s="185" t="str">
        <x:v>Months of contribution needed to repay CAC</x:v>
      </x:c>
      <x:c r="D17" s="124"/>
      <x:c r="E17" s="124"/>
      <x:c r="F17" s="124"/>
    </x:row>
    <x:row r="18">
      <x:c r="A18" s="124"/>
      <x:c r="B18" s="124"/>
      <x:c r="C18" s="124"/>
      <x:c r="D18" s="124"/>
      <x:c r="E18" s="124"/>
      <x:c r="F18" s="124"/>
    </x:row>
    <x:row r="19">
      <x:c r="A19" s="124"/>
      <x:c r="B19" s="124"/>
      <x:c r="C19" s="124"/>
      <x:c r="D19" s="124"/>
      <x:c r="E19" s="124"/>
      <x:c r="F19" s="124"/>
    </x:row>
    <x:row r="20" ht="22" customHeight="1">
      <x:c r="A20" s="146" t="str">
        <x:v>Lifetime and CAC sensitivity</x:v>
      </x:c>
      <x:c r="B20" s="146" t="str">
        <x:v>Lifetime and CAC sensitivity</x:v>
      </x:c>
      <x:c r="C20" s="146" t="str">
        <x:v>Lifetime and CAC sensitivity</x:v>
      </x:c>
      <x:c r="D20" s="146" t="str">
        <x:v>Lifetime and CAC sensitivity</x:v>
      </x:c>
      <x:c r="E20" s="146" t="str">
        <x:v>Lifetime and CAC sensitivity</x:v>
      </x:c>
      <x:c r="F20" s="146" t="str">
        <x:v>Lifetime and CAC sensitivity</x:v>
      </x:c>
    </x:row>
    <x:row r="21" ht="26" customHeight="1">
      <x:c r="A21" s="126" t="str">
        <x:v>Paid lifetime (months)</x:v>
      </x:c>
      <x:c r="B21" s="126" t="str">
        <x:v>Contribution LTV</x:v>
      </x:c>
      <x:c r="C21" s="126" t="str">
        <x:v>3:1 CAC ceiling</x:v>
      </x:c>
      <x:c r="D21" s="126" t="str">
        <x:v>Interpretation</x:v>
      </x:c>
      <x:c r="E21" s="124"/>
      <x:c r="F21" s="124"/>
    </x:row>
    <x:row r="22">
      <x:c r="A22" s="147" t="n">
        <x:v>3</x:v>
      </x:c>
      <x:c r="B22" s="180" t="n">
        <x:f>$A22*$B$11</x:f>
        <x:v>27.862499999999997</x:v>
      </x:c>
      <x:c r="C22" s="180" t="n">
        <x:f>B22/3</x:f>
        <x:v>9.2875</x:v>
      </x:c>
      <x:c r="D22" s="147" t="str">
        <x:v>Sensitivity only</x:v>
      </x:c>
      <x:c r="E22" s="124"/>
      <x:c r="F22" s="124"/>
    </x:row>
    <x:row r="23">
      <x:c r="A23" s="149" t="n">
        <x:v>6</x:v>
      </x:c>
      <x:c r="B23" s="181" t="n">
        <x:f>$A23*$B$11</x:f>
        <x:v>55.724999999999994</x:v>
      </x:c>
      <x:c r="C23" s="181" t="n">
        <x:f>B23/3</x:f>
        <x:v>18.575</x:v>
      </x:c>
      <x:c r="D23" s="149" t="str">
        <x:v>Base assumption</x:v>
      </x:c>
      <x:c r="E23" s="124"/>
      <x:c r="F23" s="124"/>
    </x:row>
    <x:row r="24">
      <x:c r="A24" s="149" t="n">
        <x:v>12</x:v>
      </x:c>
      <x:c r="B24" s="181" t="n">
        <x:f>$A24*$B$11</x:f>
        <x:v>111.44999999999999</x:v>
      </x:c>
      <x:c r="C24" s="181" t="n">
        <x:f>B24/3</x:f>
        <x:v>37.15</x:v>
      </x:c>
      <x:c r="D24" s="149" t="str">
        <x:v>Sensitivity only</x:v>
      </x:c>
      <x:c r="E24" s="124"/>
      <x:c r="F24" s="124"/>
    </x:row>
    <x:row r="25">
      <x:c r="A25" s="151" t="n">
        <x:v>18</x:v>
      </x:c>
      <x:c r="B25" s="200" t="n">
        <x:f>$A25*$B$11</x:f>
        <x:v>167.17499999999998</x:v>
      </x:c>
      <x:c r="C25" s="200" t="n">
        <x:f>B25/3</x:f>
        <x:v>55.724999999999994</x:v>
      </x:c>
      <x:c r="D25" s="151" t="str">
        <x:v>Sensitivity only</x:v>
      </x:c>
      <x:c r="E25" s="124"/>
      <x:c r="F25" s="124"/>
    </x:row>
    <x:row r="26">
      <x:c r="A26" s="124"/>
      <x:c r="B26" s="124"/>
      <x:c r="C26" s="124"/>
      <x:c r="D26" s="124"/>
      <x:c r="E26" s="124"/>
      <x:c r="F26" s="124"/>
    </x:row>
    <x:row r="27">
      <x:c r="A27" s="124"/>
      <x:c r="B27" s="124"/>
      <x:c r="C27" s="124"/>
      <x:c r="D27" s="124"/>
      <x:c r="E27" s="124"/>
      <x:c r="F27" s="124"/>
    </x:row>
    <x:row r="28" ht="22" customHeight="1">
      <x:c r="A28" s="146" t="str">
        <x:v>Short definitions</x:v>
      </x:c>
      <x:c r="B28" s="146" t="str">
        <x:v>Short definitions</x:v>
      </x:c>
      <x:c r="C28" s="146" t="str">
        <x:v>Short definitions</x:v>
      </x:c>
      <x:c r="D28" s="146" t="str">
        <x:v>Short definitions</x:v>
      </x:c>
      <x:c r="E28" s="146" t="str">
        <x:v>Short definitions</x:v>
      </x:c>
      <x:c r="F28" s="146" t="str">
        <x:v>Short definitions</x:v>
      </x:c>
    </x:row>
    <x:row r="29">
      <x:c r="A29" s="147" t="str">
        <x:v>CAC</x:v>
      </x:c>
      <x:c r="B29" s="147" t="str">
        <x:v>Cost to win one paying customer.</x:v>
      </x:c>
      <x:c r="C29" s="124"/>
      <x:c r="D29" s="124"/>
      <x:c r="E29" s="124"/>
      <x:c r="F29" s="124"/>
    </x:row>
    <x:row r="30">
      <x:c r="A30" s="149" t="str">
        <x:v>LTV</x:v>
      </x:c>
      <x:c r="B30" s="149" t="str">
        <x:v>Contribution earned over a customer's paid lifetime.</x:v>
      </x:c>
      <x:c r="C30" s="124"/>
      <x:c r="D30" s="124"/>
      <x:c r="E30" s="124"/>
      <x:c r="F30" s="124"/>
    </x:row>
    <x:row r="31">
      <x:c r="A31" s="149" t="str">
        <x:v>Contribution</x:v>
      </x:c>
      <x:c r="B31" s="149" t="str">
        <x:v>Revenue left after variable costs such as Stripe and Gemini.</x:v>
      </x:c>
      <x:c r="C31" s="124"/>
      <x:c r="D31" s="124"/>
      <x:c r="E31" s="124"/>
      <x:c r="F31" s="124"/>
    </x:row>
    <x:row r="32">
      <x:c r="A32" s="149" t="str">
        <x:v>Fixed OpEx</x:v>
      </x:c>
      <x:c r="B32" s="149" t="str">
        <x:v>Monthly software cost that does not change with each customer.</x:v>
      </x:c>
      <x:c r="C32" s="124"/>
      <x:c r="D32" s="124"/>
      <x:c r="E32" s="124"/>
      <x:c r="F32" s="124"/>
    </x:row>
    <x:row r="33">
      <x:c r="A33" s="149" t="str">
        <x:v>Break-even</x:v>
      </x:c>
      <x:c r="B33" s="149" t="str">
        <x:v>The point where monthly contribution covers fixed OpEx.</x:v>
      </x:c>
      <x:c r="C33" s="124"/>
      <x:c r="D33" s="124"/>
      <x:c r="E33" s="124"/>
      <x:c r="F33" s="124"/>
    </x:row>
    <x:row r="34">
      <x:c r="A34" s="149" t="str">
        <x:v>Conversion</x:v>
      </x:c>
      <x:c r="B34" s="149" t="str">
        <x:v>The share of new trial users who become paid.</x:v>
      </x:c>
      <x:c r="C34" s="124"/>
      <x:c r="D34" s="124"/>
      <x:c r="E34" s="124"/>
      <x:c r="F34" s="124"/>
    </x:row>
    <x:row r="35">
      <x:c r="A35" s="151" t="str">
        <x:v>MAU</x:v>
      </x:c>
      <x:c r="B35" s="151" t="str">
        <x:v>Monthly active users.</x:v>
      </x:c>
      <x:c r="C35" s="124"/>
      <x:c r="D35" s="124"/>
      <x:c r="E35" s="124"/>
      <x:c r="F35" s="124"/>
    </x:row>
  </x:sheetData>
  <x:mergeCells>
    <x:mergeCell ref="A1:F1"/>
    <x:mergeCell ref="A2:F3"/>
    <x:mergeCell ref="A20:F20"/>
    <x:mergeCell ref="A28:F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45" hidden="0" customWidth="1"/>
  </x:cols>
  <x:sheetData>
    <x:row r="1" ht="34" customHeight="1">
      <x:c r="A1" s="123" t="str">
        <x:v>Model checks and audit controls</x:v>
      </x:c>
      <x:c r="B1" s="123" t="str">
        <x:v>Model checks and audit controls</x:v>
      </x:c>
      <x:c r="C1" s="123" t="str">
        <x:v>Model checks and audit controls</x:v>
      </x:c>
      <x:c r="D1" s="123" t="str">
        <x:v>Model checks and audit controls</x:v>
      </x:c>
      <x:c r="E1" s="123" t="str">
        <x:v>Model checks and audit controls</x:v>
      </x:c>
      <x:c r="F1" s="123" t="str">
        <x:v>Model checks and audit controls</x:v>
      </x:c>
      <x:c r="G1" s="123" t="str">
        <x:v>Model checks and audit controls</x:v>
      </x:c>
    </x:row>
    <x:row r="2" ht="32" customHeight="1">
      <x:c r="A2" s="125" t="str">
        <x:v>PASS means the model ties to its stated assumptions. It does not mean the commercial assumptions will occur.</x:v>
      </x:c>
      <x:c r="B2" s="125" t="str">
        <x:v>PASS means the model ties to its stated assumptions. It does not mean the commercial assumptions will occur.</x:v>
      </x:c>
      <x:c r="C2" s="125" t="str">
        <x:v>PASS means the model ties to its stated assumptions. It does not mean the commercial assumptions will occur.</x:v>
      </x:c>
      <x:c r="D2" s="125" t="str">
        <x:v>PASS means the model ties to its stated assumptions. It does not mean the commercial assumptions will occur.</x:v>
      </x:c>
      <x:c r="E2" s="125" t="str">
        <x:v>PASS means the model ties to its stated assumptions. It does not mean the commercial assumptions will occur.</x:v>
      </x:c>
      <x:c r="F2" s="125" t="str">
        <x:v>PASS means the model ties to its stated assumptions. It does not mean the commercial assumptions will occur.</x:v>
      </x:c>
      <x:c r="G2" s="125" t="str">
        <x:v>PASS means the model ties to its stated assumptions. It does not mean the commercial assumptions will occur.</x:v>
      </x:c>
    </x:row>
    <x:row r="3" ht="32" customHeight="1">
      <x:c r="A3" s="125" t="str">
        <x:v>PASS means the model ties to its stated assumptions. It does not mean the commercial assumptions will occur.</x:v>
      </x:c>
      <x:c r="B3" s="125" t="str">
        <x:v>PASS means the model ties to its stated assumptions. It does not mean the commercial assumptions will occur.</x:v>
      </x:c>
      <x:c r="C3" s="125" t="str">
        <x:v>PASS means the model ties to its stated assumptions. It does not mean the commercial assumptions will occur.</x:v>
      </x:c>
      <x:c r="D3" s="125" t="str">
        <x:v>PASS means the model ties to its stated assumptions. It does not mean the commercial assumptions will occur.</x:v>
      </x:c>
      <x:c r="E3" s="125" t="str">
        <x:v>PASS means the model ties to its stated assumptions. It does not mean the commercial assumptions will occur.</x:v>
      </x:c>
      <x:c r="F3" s="125" t="str">
        <x:v>PASS means the model ties to its stated assumptions. It does not mean the commercial assumptions will occur.</x:v>
      </x:c>
      <x:c r="G3" s="125" t="str">
        <x:v>PASS means the model ties to its stated assumptions. It does not mean the commercial assumptions will occur.</x:v>
      </x:c>
    </x:row>
    <x:row r="4" ht="26" customHeight="1">
      <x:c r="A4" s="126" t="str">
        <x:v>Check</x:v>
      </x:c>
      <x:c r="B4" s="126" t="str">
        <x:v>Actual</x:v>
      </x:c>
      <x:c r="C4" s="126" t="str">
        <x:v>Expected</x:v>
      </x:c>
      <x:c r="D4" s="126" t="str">
        <x:v>Difference</x:v>
      </x:c>
      <x:c r="E4" s="126" t="str">
        <x:v>Tolerance</x:v>
      </x:c>
      <x:c r="F4" s="126" t="str">
        <x:v>Status</x:v>
      </x:c>
      <x:c r="G4" s="126" t="str">
        <x:v>Where to fix / note</x:v>
      </x:c>
    </x:row>
    <x:row r="5">
      <x:c r="A5" s="147" t="str">
        <x:v>New paid ramp equals trials × conversion</x:v>
      </x:c>
      <x:c r="B5" s="201" t="n">
        <x:f>'Assumptions'!B10</x:f>
        <x:v>10</x:v>
      </x:c>
      <x:c r="C5" s="201" t="n">
        <x:f>'Assumptions'!B9*'Assumptions'!B8</x:f>
        <x:v>10</x:v>
      </x:c>
      <x:c r="D5" s="201" t="n">
        <x:f>B5-C5</x:f>
        <x:v>0</x:v>
      </x:c>
      <x:c r="E5" s="201" t="n">
        <x:v>0.0001</x:v>
      </x:c>
      <x:c r="F5" s="147" t="str">
        <x:f>IF(ABS(D5)&lt;=E5,"OK","FAIL")</x:f>
        <x:v>OK</x:v>
      </x:c>
      <x:c r="G5" s="147" t="str">
        <x:v>Assumptions B8:B10</x:v>
      </x:c>
    </x:row>
    <x:row r="6">
      <x:c r="A6" s="149" t="str">
        <x:v>Lean fixed stack ties</x:v>
      </x:c>
      <x:c r="B6" s="202" t="n">
        <x:f>'Assumptions'!B25</x:f>
        <x:v>45</x:v>
      </x:c>
      <x:c r="C6" s="202" t="n">
        <x:f>'Stack Comparison'!C18</x:f>
        <x:v>45</x:v>
      </x:c>
      <x:c r="D6" s="202" t="n">
        <x:f>B6-C6</x:f>
        <x:v>0</x:v>
      </x:c>
      <x:c r="E6" s="202" t="n">
        <x:v>0.01</x:v>
      </x:c>
      <x:c r="F6" s="149" t="str">
        <x:f>IF(ABS(D6)&lt;=E6,"OK","FAIL")</x:f>
        <x:v>OK</x:v>
      </x:c>
      <x:c r="G6" s="149" t="str">
        <x:v>Stack Comparison C7:C17</x:v>
      </x:c>
    </x:row>
    <x:row r="7">
      <x:c r="A7" s="149" t="str">
        <x:v>Monitored fixed stack ties</x:v>
      </x:c>
      <x:c r="B7" s="202" t="n">
        <x:f>'Assumptions'!B26</x:f>
        <x:v>71</x:v>
      </x:c>
      <x:c r="C7" s="202" t="n">
        <x:f>'Stack Comparison'!D18</x:f>
        <x:v>71</x:v>
      </x:c>
      <x:c r="D7" s="202" t="n">
        <x:f>B7-C7</x:f>
        <x:v>0</x:v>
      </x:c>
      <x:c r="E7" s="202" t="n">
        <x:v>0.01</x:v>
      </x:c>
      <x:c r="F7" s="149" t="str">
        <x:f>IF(ABS(D7)&lt;=E7,"OK","FAIL")</x:f>
        <x:v>OK</x:v>
      </x:c>
      <x:c r="G7" s="149" t="str">
        <x:v>Stack Comparison D7:D17</x:v>
      </x:c>
    </x:row>
    <x:row r="8">
      <x:c r="A8" s="149" t="str">
        <x:v>Unit contribution ties</x:v>
      </x:c>
      <x:c r="B8" s="202" t="n">
        <x:f>'Unit Economics'!B11</x:f>
        <x:v>9.2875</x:v>
      </x:c>
      <x:c r="C8" s="202" t="n">
        <x:f>'Assumptions'!B13-'Unit Economics'!B8-'Unit Economics'!B10</x:f>
        <x:v>9.2875</x:v>
      </x:c>
      <x:c r="D8" s="202" t="n">
        <x:f>B8-C8</x:f>
        <x:v>0</x:v>
      </x:c>
      <x:c r="E8" s="202" t="n">
        <x:v>0.0001</x:v>
      </x:c>
      <x:c r="F8" s="149" t="str">
        <x:f>IF(ABS(D8)&lt;=E8,"OK","FAIL")</x:f>
        <x:v>OK</x:v>
      </x:c>
      <x:c r="G8" s="149" t="str">
        <x:v>Unit Economics B5:B11</x:v>
      </x:c>
    </x:row>
    <x:row r="9">
      <x:c r="A9" s="149" t="str">
        <x:v>LTV ties to lifetime</x:v>
      </x:c>
      <x:c r="B9" s="202" t="n">
        <x:f>'Unit Economics'!B15</x:f>
        <x:v>55.724999999999994</x:v>
      </x:c>
      <x:c r="C9" s="202" t="n">
        <x:f>'Unit Economics'!B11*'Assumptions'!B11</x:f>
        <x:v>55.724999999999994</x:v>
      </x:c>
      <x:c r="D9" s="202" t="n">
        <x:f>B9-C9</x:f>
        <x:v>0</x:v>
      </x:c>
      <x:c r="E9" s="202" t="n">
        <x:v>0.01</x:v>
      </x:c>
      <x:c r="F9" s="149" t="str">
        <x:f>IF(ABS(D9)&lt;=E9,"OK","FAIL")</x:f>
        <x:v>OK</x:v>
      </x:c>
      <x:c r="G9" s="149" t="str">
        <x:v>Unit Economics B15</x:v>
      </x:c>
    </x:row>
    <x:row r="10">
      <x:c r="A10" s="149" t="str">
        <x:v>CAC ceiling is LTV / 3</x:v>
      </x:c>
      <x:c r="B10" s="202" t="n">
        <x:f>'Unit Economics'!B16</x:f>
        <x:v>18.575</x:v>
      </x:c>
      <x:c r="C10" s="202" t="n">
        <x:f>'Unit Economics'!B15/3</x:f>
        <x:v>18.575</x:v>
      </x:c>
      <x:c r="D10" s="202" t="n">
        <x:f>B10-C10</x:f>
        <x:v>0</x:v>
      </x:c>
      <x:c r="E10" s="202" t="n">
        <x:v>0.01</x:v>
      </x:c>
      <x:c r="F10" s="149" t="str">
        <x:f>IF(ABS(D10)&lt;=E10,"OK","FAIL")</x:f>
        <x:v>OK</x:v>
      </x:c>
      <x:c r="G10" s="149" t="str">
        <x:v>Unit Economics B16</x:v>
      </x:c>
    </x:row>
    <x:row r="11">
      <x:c r="A11" s="149" t="str">
        <x:v>Current steady-state paid users</x:v>
      </x:c>
      <x:c r="B11" s="202" t="n">
        <x:f>'Forecast 12M'!H18</x:f>
        <x:v>60</x:v>
      </x:c>
      <x:c r="C11" s="202" t="n">
        <x:f>'Assumptions'!B10*'Assumptions'!B11</x:f>
        <x:v>60</x:v>
      </x:c>
      <x:c r="D11" s="202" t="n">
        <x:f>B11-C11</x:f>
        <x:v>0</x:v>
      </x:c>
      <x:c r="E11" s="202" t="n">
        <x:v>0</x:v>
      </x:c>
      <x:c r="F11" s="149" t="str">
        <x:f>IF(ABS(D11)&lt;=E11,"OK","FAIL")</x:f>
        <x:v>OK</x:v>
      </x:c>
      <x:c r="G11" s="149" t="str">
        <x:v>Forecast 12M row 18</x:v>
      </x:c>
    </x:row>
    <x:row r="12">
      <x:c r="A12" s="149" t="str">
        <x:v>Current Month 1 paid users reflect trial</x:v>
      </x:c>
      <x:c r="B12" s="202" t="n">
        <x:f>'Forecast 12M'!B18</x:f>
        <x:v>0</x:v>
      </x:c>
      <x:c r="C12" s="202" t="n">
        <x:v>0</x:v>
      </x:c>
      <x:c r="D12" s="202" t="n">
        <x:f>B12-C12</x:f>
        <x:v>0</x:v>
      </x:c>
      <x:c r="E12" s="202" t="n">
        <x:v>0</x:v>
      </x:c>
      <x:c r="F12" s="149" t="str">
        <x:f>IF(ABS(D12)&lt;=E12,"OK","FAIL")</x:f>
        <x:v>OK</x:v>
      </x:c>
      <x:c r="G12" s="149" t="str">
        <x:v>Forecast 12M B18</x:v>
      </x:c>
    </x:row>
    <x:row r="13">
      <x:c r="A13" s="149" t="str">
        <x:v>Historical Month 1 profit reproduces revised model</x:v>
      </x:c>
      <x:c r="B13" s="202" t="n">
        <x:f>'Forecast 12M'!B11</x:f>
        <x:v>0.8000000000000114</x:v>
      </x:c>
      <x:c r="C13" s="202" t="n">
        <x:v>0.8</x:v>
      </x:c>
      <x:c r="D13" s="202" t="n">
        <x:f>B13-C13</x:f>
        <x:v>1.1324274851176597e-14</x:v>
      </x:c>
      <x:c r="E13" s="202" t="n">
        <x:v>0.01</x:v>
      </x:c>
      <x:c r="F13" s="149" t="str">
        <x:f>IF(ABS(D13)&lt;=E13,"OK","FAIL")</x:f>
        <x:v>OK</x:v>
      </x:c>
      <x:c r="G13" s="149" t="str">
        <x:v>10 × $9.48 − $94</x:v>
      </x:c>
    </x:row>
    <x:row r="14">
      <x:c r="A14" s="151" t="str">
        <x:v>Prior $85 LTV mismatch is surfaced</x:v>
      </x:c>
      <x:c r="B14" s="203" t="n">
        <x:v>85</x:v>
      </x:c>
      <x:c r="C14" s="203" t="n">
        <x:f>'Prior Models'!C13</x:f>
        <x:v>56.88</x:v>
      </x:c>
      <x:c r="D14" s="203" t="n">
        <x:f>B14-C14</x:f>
        <x:v>28.119999999999997</x:v>
      </x:c>
      <x:c r="E14" s="203" t="n">
        <x:v>0.01</x:v>
      </x:c>
      <x:c r="F14" s="151" t="str">
        <x:f>IF(ABS(D14)&gt;E14,"OK","FAIL")</x:f>
        <x:v>OK</x:v>
      </x:c>
      <x:c r="G14" s="151" t="str">
        <x:v>OK means the historical mismatch is visible</x:v>
      </x:c>
    </x:row>
    <x:row r="15">
      <x:c r="A15" s="124" t="str">
        <x:v>Current comparison contribution ties</x:v>
      </x:c>
      <x:c r="B15" s="124" t="n">
        <x:f>'Assumptions'!E41</x:f>
        <x:v>9.2875</x:v>
      </x:c>
      <x:c r="C15" s="124" t="n">
        <x:f>'Unit Economics'!B11</x:f>
        <x:v>9.2875</x:v>
      </x:c>
      <x:c r="D15" s="124" t="n">
        <x:f>B15-C15</x:f>
        <x:v>0</x:v>
      </x:c>
      <x:c r="E15" s="124" t="n">
        <x:v>0.0001</x:v>
      </x:c>
      <x:c r="F15" s="124" t="str">
        <x:f>IF(ABS(D15)&lt;=E15,"OK","FAIL")</x:f>
        <x:v>OK</x:v>
      </x:c>
      <x:c r="G15" s="124" t="str">
        <x:v>Assumptions E41 / Unit Economics B11</x:v>
      </x:c>
    </x:row>
    <x:row r="16">
      <x:c r="A16" s="124"/>
      <x:c r="B16" s="124"/>
      <x:c r="C16" s="124"/>
      <x:c r="D16" s="124"/>
      <x:c r="E16" s="124"/>
      <x:c r="F16" s="124"/>
      <x:c r="G16" s="124"/>
    </x:row>
    <x:row r="17" ht="22" customHeight="1">
      <x:c r="A17" s="146" t="str">
        <x:v>Overall model status</x:v>
      </x:c>
      <x:c r="B17" s="146" t="str">
        <x:v>Overall model status</x:v>
      </x:c>
      <x:c r="C17" s="146" t="str">
        <x:v>Overall model status</x:v>
      </x:c>
      <x:c r="D17" s="146" t="str">
        <x:v>Overall model status</x:v>
      </x:c>
      <x:c r="E17" s="146" t="str">
        <x:v>Overall model status</x:v>
      </x:c>
      <x:c r="F17" s="146" t="str">
        <x:v>Overall model status</x:v>
      </x:c>
      <x:c r="G17" s="146" t="str">
        <x:v>Overall model status</x:v>
      </x:c>
    </x:row>
    <x:row r="18">
      <x:c r="A18" s="204" t="str">
        <x:f>IF(COUNTIF(F5:F15,"FAIL")+COUNTIF(F20:F22,"FAIL")=0,"MODEL STATUS: PASS","MODEL STATUS: FAIL")</x:f>
        <x:v>MODEL STATUS: PASS</x:v>
      </x:c>
      <x:c r="B18" s="204"/>
      <x:c r="C18" s="124"/>
      <x:c r="D18" s="205" t="str">
        <x:v>Financial audit completed: historical claims reconciled; trial and paid coaching usage included; Gemini's 2027 price step included; fixed and variable costs separated; paid CAC shown separately. PASS confirms formula consistency, not commercial validation.</x:v>
      </x:c>
      <x:c r="E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F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G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</x:row>
    <x:row r="19">
      <x:c r="A19" s="204"/>
      <x:c r="B19" s="204"/>
      <x:c r="C19" s="124"/>
      <x:c r="D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E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F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G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</x:row>
    <x:row r="20">
      <x:c r="A20" s="124" t="str">
        <x:v>Stack comparison 2026 variable cost</x:v>
      </x:c>
      <x:c r="B20" s="124" t="n">
        <x:f>'Stack Comparison'!C26</x:f>
        <x:v>0.6862500000000001</x:v>
      </x:c>
      <x:c r="C20" s="124" t="n">
        <x:f>'Unit Economics'!B8+'Unit Economics'!B9</x:f>
        <x:v>0.6862500000000001</x:v>
      </x:c>
      <x:c r="D20" s="205" t="n">
        <x:f>B20-C20</x:f>
        <x:v>0</x:v>
      </x:c>
      <x:c r="E20" s="205" t="n">
        <x:v>0.0001</x:v>
      </x:c>
      <x:c r="F20" s="205" t="str">
        <x:f>IF(ABS(D20)&lt;=E20,"OK","FAIL")</x:f>
        <x:v>OK</x:v>
      </x:c>
      <x:c r="G20" s="205" t="str">
        <x:v>Stack Comparison C24:C26 / Unit Economics</x:v>
      </x:c>
    </x:row>
    <x:row r="21">
      <x:c r="A21" t="str">
        <x:v>Stack comparison 2027 variable cost</x:v>
      </x:c>
      <x:c r="B21" t="n">
        <x:f>'Stack Comparison'!D26</x:f>
        <x:v>0.7125000000000001</x:v>
      </x:c>
      <x:c r="C21" t="n">
        <x:f>'Unit Economics'!B8+'Unit Economics'!B10</x:f>
        <x:v>0.7125000000000001</x:v>
      </x:c>
      <x:c r="D21" t="n">
        <x:f>B21-C21</x:f>
        <x:v>0</x:v>
      </x:c>
      <x:c r="E21" t="n">
        <x:v>0.0001</x:v>
      </x:c>
      <x:c r="F21" t="str">
        <x:f>IF(ABS(D21)&lt;=E21,"OK","FAIL")</x:f>
        <x:v>OK</x:v>
      </x:c>
      <x:c r="G21" t="str">
        <x:v>Stack Comparison D24:D26 / Unit Economics</x:v>
      </x:c>
    </x:row>
    <x:row r="22">
      <x:c r="A22" t="str">
        <x:v>Month 1 trial coaching cost included</x:v>
      </x:c>
      <x:c r="B22" t="n">
        <x:f>'Forecast 12M'!B21</x:f>
        <x:v>13.124999999999998</x:v>
      </x:c>
      <x:c r="C22" t="n">
        <x:f>'Assumptions'!B9*'Unit Economics'!B9</x:f>
        <x:v>13.124999999999998</x:v>
      </x:c>
      <x:c r="D22" t="n">
        <x:f>B22-C22</x:f>
        <x:v>0</x:v>
      </x:c>
      <x:c r="E22" t="n">
        <x:v>0.0001</x:v>
      </x:c>
      <x:c r="F22" t="str">
        <x:f>IF(ABS(D22)&lt;=E22,"OK","FAIL")</x:f>
        <x:v>OK</x:v>
      </x:c>
      <x:c r="G22" t="str">
        <x:v>Forecast 12M B21 / 500 active trials</x:v>
      </x:c>
    </x:row>
  </x:sheetData>
  <x:mergeCells>
    <x:mergeCell ref="A1:G1"/>
    <x:mergeCell ref="A2:G3"/>
    <x:mergeCell ref="A17:G17"/>
    <x:mergeCell ref="A18:B19"/>
    <x:mergeCell ref="D18:G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7" hidden="0" customWidth="1"/>
    <x:col min="3" max="3" width="22" hidden="0" customWidth="1"/>
    <x:col min="4" max="4" width="15" hidden="0" customWidth="1"/>
    <x:col min="5" max="5" width="23" hidden="0" customWidth="1"/>
    <x:col min="6" max="6" width="18" hidden="0" customWidth="1"/>
    <x:col min="7" max="7" width="68" hidden="0" customWidth="1"/>
    <x:col min="8" max="8" width="48" hidden="0" customWidth="1"/>
  </x:cols>
  <x:sheetData>
    <x:row r="1" ht="34" customHeight="1">
      <x:c r="A1" s="123" t="str">
        <x:v>Sources and audit trail</x:v>
      </x:c>
      <x:c r="B1" s="123" t="str">
        <x:v>Sources and audit trail</x:v>
      </x:c>
      <x:c r="C1" s="123" t="str">
        <x:v>Sources and audit trail</x:v>
      </x:c>
      <x:c r="D1" s="123" t="str">
        <x:v>Sources and audit trail</x:v>
      </x:c>
      <x:c r="E1" s="123" t="str">
        <x:v>Sources and audit trail</x:v>
      </x:c>
      <x:c r="F1" s="123" t="str">
        <x:v>Sources and audit trail</x:v>
      </x:c>
      <x:c r="G1" s="123" t="str">
        <x:v>Sources and audit trail</x:v>
      </x:c>
      <x:c r="H1" s="123" t="str">
        <x:v>Sources and audit trail</x:v>
      </x:c>
    </x:row>
    <x:row r="2" ht="32" customHeight="1">
      <x:c r="A2" s="125" t="str">
        <x:v>Official vendor prices accessed 2026-09-05. Historical assumptions come from archived SpeakSharp planning documents and are preserved for comparison, not treated as current facts.</x:v>
      </x:c>
      <x:c r="B2" s="125" t="str">
        <x:v>Official vendor prices accessed 2026-09-05. Historical assumptions come from archived SpeakSharp planning documents and are preserved for comparison, not treated as current facts.</x:v>
      </x:c>
      <x:c r="C2" s="125" t="str">
        <x:v>Official vendor prices accessed 2026-09-05. Historical assumptions come from archived SpeakSharp planning documents and are preserved for comparison, not treated as current facts.</x:v>
      </x:c>
      <x:c r="D2" s="125" t="str">
        <x:v>Official vendor prices accessed 2026-09-05. Historical assumptions come from archived SpeakSharp planning documents and are preserved for comparison, not treated as current facts.</x:v>
      </x:c>
      <x:c r="E2" s="125" t="str">
        <x:v>Official vendor prices accessed 2026-09-05. Historical assumptions come from archived SpeakSharp planning documents and are preserved for comparison, not treated as current facts.</x:v>
      </x:c>
      <x:c r="F2" s="125" t="str">
        <x:v>Official vendor prices accessed 2026-09-05. Historical assumptions come from archived SpeakSharp planning documents and are preserved for comparison, not treated as current facts.</x:v>
      </x:c>
      <x:c r="G2" s="125" t="str">
        <x:v>Official vendor prices accessed 2026-09-05. Historical assumptions come from archived SpeakSharp planning documents and are preserved for comparison, not treated as current facts.</x:v>
      </x:c>
      <x:c r="H2" s="125" t="str">
        <x:v>Official vendor prices accessed 2026-09-05. Historical assumptions come from archived SpeakSharp planning documents and are preserved for comparison, not treated as current facts.</x:v>
      </x:c>
    </x:row>
    <x:row r="3" ht="32" customHeight="1">
      <x:c r="A3" s="125" t="str">
        <x:v>Official vendor prices accessed 2026-09-05. Historical assumptions come from archived SpeakSharp planning documents and are preserved for comparison, not treated as current facts.</x:v>
      </x:c>
      <x:c r="B3" s="125" t="str">
        <x:v>Official vendor prices accessed 2026-09-05. Historical assumptions come from archived SpeakSharp planning documents and are preserved for comparison, not treated as current facts.</x:v>
      </x:c>
      <x:c r="C3" s="125" t="str">
        <x:v>Official vendor prices accessed 2026-09-05. Historical assumptions come from archived SpeakSharp planning documents and are preserved for comparison, not treated as current facts.</x:v>
      </x:c>
      <x:c r="D3" s="125" t="str">
        <x:v>Official vendor prices accessed 2026-09-05. Historical assumptions come from archived SpeakSharp planning documents and are preserved for comparison, not treated as current facts.</x:v>
      </x:c>
      <x:c r="E3" s="125" t="str">
        <x:v>Official vendor prices accessed 2026-09-05. Historical assumptions come from archived SpeakSharp planning documents and are preserved for comparison, not treated as current facts.</x:v>
      </x:c>
      <x:c r="F3" s="125" t="str">
        <x:v>Official vendor prices accessed 2026-09-05. Historical assumptions come from archived SpeakSharp planning documents and are preserved for comparison, not treated as current facts.</x:v>
      </x:c>
      <x:c r="G3" s="125" t="str">
        <x:v>Official vendor prices accessed 2026-09-05. Historical assumptions come from archived SpeakSharp planning documents and are preserved for comparison, not treated as current facts.</x:v>
      </x:c>
      <x:c r="H3" s="125" t="str">
        <x:v>Official vendor prices accessed 2026-09-05. Historical assumptions come from archived SpeakSharp planning documents and are preserved for comparison, not treated as current facts.</x:v>
      </x:c>
    </x:row>
    <x:row r="4" ht="26" customHeight="1">
      <x:c r="A4" s="126" t="str">
        <x:v>Input / service</x:v>
      </x:c>
      <x:c r="B4" s="126" t="str">
        <x:v>Value used</x:v>
      </x:c>
      <x:c r="C4" s="126" t="str">
        <x:v>Units</x:v>
      </x:c>
      <x:c r="D4" s="126" t="str">
        <x:v>As of</x:v>
      </x:c>
      <x:c r="E4" s="126" t="str">
        <x:v>Source type</x:v>
      </x:c>
      <x:c r="F4" s="126" t="str">
        <x:v>Source</x:v>
      </x:c>
      <x:c r="G4" s="126" t="str">
        <x:v>Reference</x:v>
      </x:c>
      <x:c r="H4" s="126" t="str">
        <x:v>Notes</x:v>
      </x:c>
    </x:row>
    <x:row r="5">
      <x:c r="A5" s="147" t="str">
        <x:v>Supabase Pro</x:v>
      </x:c>
      <x:c r="B5" s="201" t="n">
        <x:v>25</x:v>
      </x:c>
      <x:c r="C5" s="147" t="str">
        <x:v>USD/month</x:v>
      </x:c>
      <x:c r="D5" s="147" t="str">
        <x:v>2026-09-05</x:v>
      </x:c>
      <x:c r="E5" s="147" t="str">
        <x:v>Official pricing</x:v>
      </x:c>
      <x:c r="F5" s="147" t="str">
        <x:v>Supabase</x:v>
      </x:c>
      <x:c r="G5" s="147" t="str">
        <x:v>https://supabase.com/pricing</x:v>
      </x:c>
      <x:c r="H5" s="147" t="str">
        <x:v>Includes $10 compute credit; one Micro project effectively covered</x:v>
      </x:c>
    </x:row>
    <x:row r="6">
      <x:c r="A6" s="149" t="str">
        <x:v>Vercel Pro</x:v>
      </x:c>
      <x:c r="B6" s="202" t="n">
        <x:v>20</x:v>
      </x:c>
      <x:c r="C6" s="149" t="str">
        <x:v>USD/month</x:v>
      </x:c>
      <x:c r="D6" s="149" t="str">
        <x:v>2026-09-05</x:v>
      </x:c>
      <x:c r="E6" s="149" t="str">
        <x:v>Official pricing</x:v>
      </x:c>
      <x:c r="F6" s="149" t="str">
        <x:v>Vercel</x:v>
      </x:c>
      <x:c r="G6" s="149" t="str">
        <x:v>https://vercel.com/pricing</x:v>
      </x:c>
      <x:c r="H6" s="149" t="str">
        <x:v>$20 usage credit; published included allowances</x:v>
      </x:c>
    </x:row>
    <x:row r="7">
      <x:c r="A7" s="149" t="str">
        <x:v>Stripe Payments</x:v>
      </x:c>
      <x:c r="B7" s="202" t="n">
        <x:v>0.029</x:v>
      </x:c>
      <x:c r="C7" s="149" t="str">
        <x:v>% + $0.30</x:v>
      </x:c>
      <x:c r="D7" s="149" t="str">
        <x:v>2026-09-05</x:v>
      </x:c>
      <x:c r="E7" s="149" t="str">
        <x:v>Official pricing</x:v>
      </x:c>
      <x:c r="F7" s="149" t="str">
        <x:v>Stripe</x:v>
      </x:c>
      <x:c r="G7" s="149" t="str">
        <x:v>https://stripe.com/us/pricing</x:v>
      </x:c>
      <x:c r="H7" s="149" t="str">
        <x:v>Domestic cards; excludes international/add-ons</x:v>
      </x:c>
    </x:row>
    <x:row r="8">
      <x:c r="A8" s="149" t="str">
        <x:v>Stripe Billing</x:v>
      </x:c>
      <x:c r="B8" s="202" t="n">
        <x:v>0.007</x:v>
      </x:c>
      <x:c r="C8" s="149" t="str">
        <x:v>% of volume</x:v>
      </x:c>
      <x:c r="D8" s="149" t="str">
        <x:v>2026-09-05</x:v>
      </x:c>
      <x:c r="E8" s="149" t="str">
        <x:v>Official pricing</x:v>
      </x:c>
      <x:c r="F8" s="149" t="str">
        <x:v>Stripe</x:v>
      </x:c>
      <x:c r="G8" s="149" t="str">
        <x:v>https://stripe.com/us/pricing</x:v>
      </x:c>
      <x:c r="H8" s="149" t="str">
        <x:v>Pay-as-you-go</x:v>
      </x:c>
    </x:row>
    <x:row r="9">
      <x:c r="A9" s="149" t="str">
        <x:v>PostHog</x:v>
      </x:c>
      <x:c r="B9" s="202" t="n">
        <x:v>0</x:v>
      </x:c>
      <x:c r="C9" s="149" t="str">
        <x:v>base USD/month</x:v>
      </x:c>
      <x:c r="D9" s="149" t="str">
        <x:v>2026-09-05</x:v>
      </x:c>
      <x:c r="E9" s="149" t="str">
        <x:v>Official pricing</x:v>
      </x:c>
      <x:c r="F9" s="149" t="str">
        <x:v>PostHog</x:v>
      </x:c>
      <x:c r="G9" s="149" t="str">
        <x:v>https://posthog.com/pricing</x:v>
      </x:c>
      <x:c r="H9" s="149" t="str">
        <x:v>Free allowances; overages not modeled</x:v>
      </x:c>
    </x:row>
    <x:row r="10">
      <x:c r="A10" s="149" t="str">
        <x:v>Sentry Developer</x:v>
      </x:c>
      <x:c r="B10" s="202" t="n">
        <x:v>0</x:v>
      </x:c>
      <x:c r="C10" s="149" t="str">
        <x:v>USD/month</x:v>
      </x:c>
      <x:c r="D10" s="149" t="str">
        <x:v>2026-09-05</x:v>
      </x:c>
      <x:c r="E10" s="149" t="str">
        <x:v>Official pricing</x:v>
      </x:c>
      <x:c r="F10" s="149" t="str">
        <x:v>Sentry</x:v>
      </x:c>
      <x:c r="G10" s="149" t="str">
        <x:v>https://sentry.io/pricing/</x:v>
      </x:c>
      <x:c r="H10" s="149" t="str">
        <x:v>Lean base</x:v>
      </x:c>
    </x:row>
    <x:row r="11">
      <x:c r="A11" s="149" t="str">
        <x:v>Sentry Team</x:v>
      </x:c>
      <x:c r="B11" s="202" t="n">
        <x:v>26</x:v>
      </x:c>
      <x:c r="C11" s="149" t="str">
        <x:v>USD/month</x:v>
      </x:c>
      <x:c r="D11" s="149" t="str">
        <x:v>2026-09-05</x:v>
      </x:c>
      <x:c r="E11" s="149" t="str">
        <x:v>Official pricing</x:v>
      </x:c>
      <x:c r="F11" s="149" t="str">
        <x:v>Sentry</x:v>
      </x:c>
      <x:c r="G11" s="149" t="str">
        <x:v>https://sentry.io/pricing/</x:v>
      </x:c>
      <x:c r="H11" s="149" t="str">
        <x:v>Annual-billing display price</x:v>
      </x:c>
    </x:row>
    <x:row r="12">
      <x:c r="A12" s="149" t="str">
        <x:v>GitHub Free</x:v>
      </x:c>
      <x:c r="B12" s="202" t="n">
        <x:v>0</x:v>
      </x:c>
      <x:c r="C12" s="149" t="str">
        <x:v>USD/month</x:v>
      </x:c>
      <x:c r="D12" s="149" t="str">
        <x:v>2026-09-05</x:v>
      </x:c>
      <x:c r="E12" s="149" t="str">
        <x:v>Official pricing</x:v>
      </x:c>
      <x:c r="F12" s="149" t="str">
        <x:v>GitHub</x:v>
      </x:c>
      <x:c r="G12" s="149" t="str">
        <x:v>https://github.com/pricing</x:v>
      </x:c>
      <x:c r="H12" s="149" t="str">
        <x:v>Public repository assumption</x:v>
      </x:c>
    </x:row>
    <x:row r="13">
      <x:c r="A13" s="149" t="str">
        <x:v>Historical Resend Pro</x:v>
      </x:c>
      <x:c r="B13" s="202" t="n">
        <x:v>20</x:v>
      </x:c>
      <x:c r="C13" s="149" t="str">
        <x:v>USD/month</x:v>
      </x:c>
      <x:c r="D13" s="149" t="str">
        <x:v>2026-09-05</x:v>
      </x:c>
      <x:c r="E13" s="149" t="str">
        <x:v>Official pricing</x:v>
      </x:c>
      <x:c r="F13" s="149" t="str">
        <x:v>Resend</x:v>
      </x:c>
      <x:c r="G13" s="149" t="str">
        <x:v>https://resend.com/pricing</x:v>
      </x:c>
      <x:c r="H13" s="149" t="str">
        <x:v>Historical only; current plan uses Gmail</x:v>
      </x:c>
    </x:row>
    <x:row r="14">
      <x:c r="A14" s="149" t="str">
        <x:v>Current Gmail</x:v>
      </x:c>
      <x:c r="B14" s="202" t="n">
        <x:v>0</x:v>
      </x:c>
      <x:c r="C14" s="149" t="str">
        <x:v>incremental USD/month</x:v>
      </x:c>
      <x:c r="D14" s="149" t="str">
        <x:v>2026-09-05</x:v>
      </x:c>
      <x:c r="E14" s="149" t="str">
        <x:v>Management direction</x:v>
      </x:c>
      <x:c r="F14" s="149" t="str">
        <x:v>User decision</x:v>
      </x:c>
      <x:c r="G14" s="149" t="str">
        <x:v>https://mail.google.com/</x:v>
      </x:c>
      <x:c r="H14" s="149" t="str">
        <x:v>Existing Gmail; Workspace Starter optional at $7/user/month annual</x:v>
      </x:c>
    </x:row>
    <x:row r="15">
      <x:c r="A15" s="149" t="str">
        <x:v>Google Workspace Starter option</x:v>
      </x:c>
      <x:c r="B15" s="202" t="n">
        <x:v>7</x:v>
      </x:c>
      <x:c r="C15" s="149" t="str">
        <x:v>USD/user/month</x:v>
      </x:c>
      <x:c r="D15" s="149" t="str">
        <x:v>2026-09-05</x:v>
      </x:c>
      <x:c r="E15" s="149" t="str">
        <x:v>Official pricing</x:v>
      </x:c>
      <x:c r="F15" s="149" t="str">
        <x:v>Google</x:v>
      </x:c>
      <x:c r="G15" s="149" t="str">
        <x:v>https://workspace.google.com/pricing.html</x:v>
      </x:c>
      <x:c r="H15" s="149" t="str">
        <x:v>Not included in base</x:v>
      </x:c>
    </x:row>
    <x:row r="16">
      <x:c r="A16" s="149" t="str">
        <x:v>AssemblyAI current comparator</x:v>
      </x:c>
      <x:c r="B16" s="202" t="n">
        <x:v>0.15</x:v>
      </x:c>
      <x:c r="C16" s="149" t="str">
        <x:v>USD/hour</x:v>
      </x:c>
      <x:c r="D16" s="149" t="str">
        <x:v>2026-09-05</x:v>
      </x:c>
      <x:c r="E16" s="149" t="str">
        <x:v>Official pricing</x:v>
      </x:c>
      <x:c r="F16" s="149" t="str">
        <x:v>AssemblyAI</x:v>
      </x:c>
      <x:c r="G16" s="149" t="str">
        <x:v>https://www.assemblyai.com/pricing</x:v>
      </x:c>
      <x:c r="H16" s="149" t="str">
        <x:v>Not used by current product; old model used $0.47/hour</x:v>
      </x:c>
    </x:row>
    <x:row r="17">
      <x:c r="A17" s="149" t="str">
        <x:v>Gemini 3 Flash Preview</x:v>
      </x:c>
      <x:c r="B17" s="202" t="n">
        <x:v>0.5</x:v>
      </x:c>
      <x:c r="C17" s="149" t="str">
        <x:v>input USD/1M</x:v>
      </x:c>
      <x:c r="D17" s="149" t="str">
        <x:v>2026-09-05</x:v>
      </x:c>
      <x:c r="E17" s="149" t="str">
        <x:v>Official pricing</x:v>
      </x:c>
      <x:c r="F17" s="149" t="str">
        <x:v>Google AI</x:v>
      </x:c>
      <x:c r="G17" s="149" t="str">
        <x:v>https://ai.google.dev/gemini-api/docs/pricing</x:v>
      </x:c>
      <x:c r="H17" s="149" t="str">
        <x:v>Legacy model currently in code</x:v>
      </x:c>
    </x:row>
    <x:row r="18">
      <x:c r="A18" s="149" t="str">
        <x:v>Gemini 3.6 Flash</x:v>
      </x:c>
      <x:c r="B18" s="202" t="n">
        <x:v>0.75</x:v>
      </x:c>
      <x:c r="C18" s="149" t="str">
        <x:v>input USD/1M through 2026</x:v>
      </x:c>
      <x:c r="D18" s="149" t="str">
        <x:v>2026-09-05</x:v>
      </x:c>
      <x:c r="E18" s="149" t="str">
        <x:v>Official pricing</x:v>
      </x:c>
      <x:c r="F18" s="149" t="str">
        <x:v>Google AI</x:v>
      </x:c>
      <x:c r="G18" s="149" t="str">
        <x:v>https://ai.google.dev/gemini-api/docs/pricing</x:v>
      </x:c>
      <x:c r="H18" s="149" t="str">
        <x:v>Official successor; 2027 rate also modeled</x:v>
      </x:c>
    </x:row>
    <x:row r="19">
      <x:c r="A19" s="149" t="str">
        <x:v>Gemini 3.5 Flash-Lite</x:v>
      </x:c>
      <x:c r="B19" s="202" t="n">
        <x:v>0.3</x:v>
      </x:c>
      <x:c r="C19" s="149" t="str">
        <x:v>input USD/1M</x:v>
      </x:c>
      <x:c r="D19" s="149" t="str">
        <x:v>2026-09-05</x:v>
      </x:c>
      <x:c r="E19" s="149" t="str">
        <x:v>Official pricing</x:v>
      </x:c>
      <x:c r="F19" s="149" t="str">
        <x:v>Google AI</x:v>
      </x:c>
      <x:c r="G19" s="149" t="str">
        <x:v>https://ai.google.dev/gemini-api/docs/models/gemini-3.5-flash-lite</x:v>
      </x:c>
      <x:c r="H19" s="149" t="str">
        <x:v>Lower-cost benchmark candidate</x:v>
      </x:c>
    </x:row>
    <x:row r="20">
      <x:c r="A20" s="149" t="str">
        <x:v>Gemini deprecation mapping</x:v>
      </x:c>
      <x:c r="B20" s="202"/>
      <x:c r="C20" s="149" t="str">
        <x:v>n/a</x:v>
      </x:c>
      <x:c r="D20" s="149" t="str">
        <x:v>2026-09-05</x:v>
      </x:c>
      <x:c r="E20" s="149" t="str">
        <x:v>Official documentation</x:v>
      </x:c>
      <x:c r="F20" s="149" t="str">
        <x:v>Google AI</x:v>
      </x:c>
      <x:c r="G20" s="149" t="str">
        <x:v>https://ai.google.dev/gemini-api/docs/deprecations</x:v>
      </x:c>
      <x:c r="H20" s="149" t="str">
        <x:v>Legacy 3 Flash Preview → 3.6 Flash</x:v>
      </x:c>
    </x:row>
    <x:row r="21">
      <x:c r="A21" s="149" t="str">
        <x:v>Current price and trial</x:v>
      </x:c>
      <x:c r="B21" s="202" t="n">
        <x:v>10</x:v>
      </x:c>
      <x:c r="C21" s="149" t="str">
        <x:v>USD/month after 30 days</x:v>
      </x:c>
      <x:c r="D21" s="149" t="str">
        <x:v>2026-09-05</x:v>
      </x:c>
      <x:c r="E21" s="149" t="str">
        <x:v>Current product requirement</x:v>
      </x:c>
      <x:c r="F21" s="149" t="str">
        <x:v>SpeakSharp</x:v>
      </x:c>
      <x:c r="G21" s="149" t="str">
        <x:v>product_release/PRODUCT_REQUIREMENTS.md</x:v>
      </x:c>
      <x:c r="H21" s="149" t="str">
        <x:v>Billing not activated; revenue remains projection</x:v>
      </x:c>
    </x:row>
    <x:row r="22">
      <x:c r="A22" s="149" t="str">
        <x:v>Current Gemini code model</x:v>
      </x:c>
      <x:c r="B22" s="202"/>
      <x:c r="C22" s="149" t="str">
        <x:v>model id</x:v>
      </x:c>
      <x:c r="D22" s="149" t="str">
        <x:v>2026-09-05</x:v>
      </x:c>
      <x:c r="E22" s="149" t="str">
        <x:v>Code</x:v>
      </x:c>
      <x:c r="F22" s="149" t="str">
        <x:v>SpeakSharp</x:v>
      </x:c>
      <x:c r="G22" s="149" t="str">
        <x:v>backend/supabase/functions/get-ai-suggestions/index.ts</x:v>
      </x:c>
      <x:c r="H22" s="149" t="str">
        <x:v>gemini-3-flash-preview</x:v>
      </x:c>
    </x:row>
    <x:row r="23">
      <x:c r="A23" s="149" t="str">
        <x:v>Current private STT candidate</x:v>
      </x:c>
      <x:c r="B23" s="202" t="n">
        <x:v>80.55</x:v>
      </x:c>
      <x:c r="C23" s="149" t="str">
        <x:v>MB model bundle</x:v>
      </x:c>
      <x:c r="D23" s="149" t="str">
        <x:v>2026-09-05</x:v>
      </x:c>
      <x:c r="E23" s="149" t="str">
        <x:v>Code / local asset</x:v>
      </x:c>
      <x:c r="F23" s="149" t="str">
        <x:v>SpeakSharp</x:v>
      </x:c>
      <x:c r="G23" s="149" t="str">
        <x:v>frontend/src/config/private-stt.config.json</x:v>
      </x:c>
      <x:c r="H23" s="149" t="str">
        <x:v>v2:base.en; on-device path</x:v>
      </x:c>
    </x:row>
    <x:row r="24">
      <x:c r="A24" s="149" t="str">
        <x:v>Prior pricing assumptions</x:v>
      </x:c>
      <x:c r="B24" s="202"/>
      <x:c r="C24" s="149" t="str">
        <x:v>historical model</x:v>
      </x:c>
      <x:c r="D24" s="149" t="str">
        <x:v>2026-02</x:v>
      </x:c>
      <x:c r="E24" s="149" t="str">
        <x:v>Archived planning</x:v>
      </x:c>
      <x:c r="F24" s="149" t="str">
        <x:v>SpeakSharp</x:v>
      </x:c>
      <x:c r="G24" s="149" t="str">
        <x:v>product_release/archive/superseded-docs-2026-08-29/pricing_analysis.md</x:v>
      </x:c>
      <x:c r="H24" s="149" t="str">
        <x:v>$7.99 and $14.99 versions</x:v>
      </x:c>
    </x:row>
    <x:row r="25">
      <x:c r="A25" s="151" t="str">
        <x:v>Prior CFO forecast</x:v>
      </x:c>
      <x:c r="B25" s="203"/>
      <x:c r="C25" s="151" t="str">
        <x:v>historical model</x:v>
      </x:c>
      <x:c r="D25" s="151" t="str">
        <x:v>2026-02</x:v>
      </x:c>
      <x:c r="E25" s="151" t="str">
        <x:v>Archived planning</x:v>
      </x:c>
      <x:c r="F25" s="151" t="str">
        <x:v>SpeakSharp</x:v>
      </x:c>
      <x:c r="G25" s="151" t="str">
        <x:v>product_release/archive/legacy-docs/d31102a8/PRD.md</x:v>
      </x:c>
      <x:c r="H25" s="151" t="str">
        <x:v>Conversion, lifetime, CAC and ramp assumptions</x:v>
      </x:c>
    </x:row>
  </x:sheetData>
  <x:mergeCells>
    <x:mergeCell ref="A1:H1"/>
    <x:mergeCell ref="A2:H3"/>
  </x:mergeCells>
  <x:pageMargins left="0.7" right="0.7" top="0.75" bottom="0.75" header="0.3" footer="0.3"/>
</x:worksheet>
</file>